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TeamSupply.AzureAD\Desktop\Supply Chain Bot\"/>
    </mc:Choice>
  </mc:AlternateContent>
  <xr:revisionPtr revIDLastSave="0" documentId="8_{CB3049C4-B8E2-43AB-8C45-B29F4E10D6F6}" xr6:coauthVersionLast="47" xr6:coauthVersionMax="47" xr10:uidLastSave="{00000000-0000-0000-0000-000000000000}"/>
  <bookViews>
    <workbookView xWindow="780" yWindow="780" windowWidth="21600" windowHeight="11295" firstSheet="5" activeTab="9" xr2:uid="{00000000-000D-0000-FFFF-FFFF00000000}"/>
  </bookViews>
  <sheets>
    <sheet name="CRITICITA" sheetId="9" r:id="rId1"/>
    <sheet name="Vettori" sheetId="7" r:id="rId2"/>
    <sheet name="piano consegne" sheetId="8" r:id="rId3"/>
    <sheet name="appmerce_db" sheetId="8189" r:id="rId4"/>
    <sheet name="planner-acquisti" sheetId="8190" r:id="rId5"/>
    <sheet name="commerciale" sheetId="8191" r:id="rId6"/>
    <sheet name="param" sheetId="12" r:id="rId7"/>
    <sheet name="FILE PALLETTIZZAZIONI DB SRL" sheetId="4" r:id="rId8"/>
    <sheet name="trasportatori" sheetId="6" r:id="rId9"/>
    <sheet name="Logistica_ATT" sheetId="248" r:id="rId10"/>
    <sheet name="Logistica_49" sheetId="8193" r:id="rId11"/>
  </sheets>
  <externalReferences>
    <externalReference r:id="rId12"/>
  </externalReferences>
  <definedNames>
    <definedName name="_xlnm._FilterDatabase" localSheetId="3" hidden="1">appmerce_db!$A$1:$BB$1</definedName>
    <definedName name="_xlnm._FilterDatabase" localSheetId="5" hidden="1">commerciale!$A$1:$AY$1</definedName>
    <definedName name="_xlnm._FilterDatabase" localSheetId="7" hidden="1">'FILE PALLETTIZZAZIONI DB SRL'!$A$1:$I$162</definedName>
    <definedName name="_xlnm._FilterDatabase" localSheetId="10" hidden="1">Logistica_49!$A$1:$F$1</definedName>
    <definedName name="_xlnm._FilterDatabase" localSheetId="9" hidden="1">Logistica_ATT!$A$1:$F$1</definedName>
    <definedName name="_xlnm._FilterDatabase" localSheetId="4" hidden="1">'planner-acquisti'!$A$1:$AW$1</definedName>
    <definedName name="PORTAFOGLIO_VENDITECOD">'[1]PORTAFOGLIO VEN §'!$A:$A</definedName>
  </definedNames>
  <calcPr calcId="191029"/>
  <pivotCaches>
    <pivotCache cacheId="91" r:id="rId13"/>
    <pivotCache cacheId="13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6" i="8189" l="1"/>
  <c r="AY96" i="8189"/>
  <c r="AW96" i="8189"/>
  <c r="AV96" i="8189"/>
  <c r="AU96" i="8189"/>
  <c r="AT96" i="8189"/>
  <c r="AS96" i="8189"/>
  <c r="AR96" i="8189"/>
  <c r="AQ96" i="8189"/>
  <c r="AZ95" i="8189"/>
  <c r="AY95" i="8189"/>
  <c r="AW95" i="8189"/>
  <c r="AV95" i="8189"/>
  <c r="AU95" i="8189"/>
  <c r="AT95" i="8189"/>
  <c r="AS95" i="8189"/>
  <c r="AR95" i="8189"/>
  <c r="AQ95" i="8189"/>
  <c r="AZ94" i="8189"/>
  <c r="AY94" i="8189"/>
  <c r="AW94" i="8189"/>
  <c r="AV94" i="8189"/>
  <c r="AU94" i="8189"/>
  <c r="AT94" i="8189"/>
  <c r="AS94" i="8189"/>
  <c r="AR94" i="8189"/>
  <c r="AQ94" i="8189"/>
  <c r="AZ93" i="8189"/>
  <c r="AY93" i="8189"/>
  <c r="AW93" i="8189"/>
  <c r="AV93" i="8189"/>
  <c r="AU93" i="8189"/>
  <c r="AT93" i="8189"/>
  <c r="AS93" i="8189"/>
  <c r="AR93" i="8189"/>
  <c r="AQ93" i="8189"/>
  <c r="AZ92" i="8189"/>
  <c r="AY92" i="8189"/>
  <c r="AW92" i="8189"/>
  <c r="AV92" i="8189"/>
  <c r="AU92" i="8189"/>
  <c r="AT92" i="8189"/>
  <c r="AS92" i="8189"/>
  <c r="AR92" i="8189"/>
  <c r="AQ92" i="8189"/>
  <c r="AZ91" i="8189"/>
  <c r="AY91" i="8189"/>
  <c r="AW91" i="8189"/>
  <c r="AV91" i="8189"/>
  <c r="AU91" i="8189"/>
  <c r="AT91" i="8189"/>
  <c r="AS91" i="8189"/>
  <c r="AR91" i="8189"/>
  <c r="AQ91" i="8189"/>
  <c r="AZ90" i="8189"/>
  <c r="AY90" i="8189"/>
  <c r="AW90" i="8189"/>
  <c r="AV90" i="8189"/>
  <c r="AU90" i="8189"/>
  <c r="AT90" i="8189"/>
  <c r="AS90" i="8189"/>
  <c r="AR90" i="8189"/>
  <c r="AQ90" i="8189"/>
  <c r="AZ89" i="8189"/>
  <c r="AY89" i="8189"/>
  <c r="AW89" i="8189"/>
  <c r="AV89" i="8189"/>
  <c r="AU89" i="8189"/>
  <c r="AT89" i="8189"/>
  <c r="AS89" i="8189"/>
  <c r="AR89" i="8189"/>
  <c r="AQ89" i="8189"/>
  <c r="AZ88" i="8189"/>
  <c r="AY88" i="8189"/>
  <c r="AW88" i="8189"/>
  <c r="AV88" i="8189"/>
  <c r="AU88" i="8189"/>
  <c r="AT88" i="8189"/>
  <c r="AS88" i="8189"/>
  <c r="AR88" i="8189"/>
  <c r="AQ88" i="8189"/>
  <c r="AZ87" i="8189"/>
  <c r="AY87" i="8189"/>
  <c r="AW87" i="8189"/>
  <c r="AV87" i="8189"/>
  <c r="AU87" i="8189"/>
  <c r="AT87" i="8189"/>
  <c r="AS87" i="8189"/>
  <c r="AR87" i="8189"/>
  <c r="AQ87" i="8189"/>
  <c r="AZ86" i="8189"/>
  <c r="AY86" i="8189"/>
  <c r="AW86" i="8189"/>
  <c r="AV86" i="8189"/>
  <c r="AU86" i="8189"/>
  <c r="AT86" i="8189"/>
  <c r="AS86" i="8189"/>
  <c r="AR86" i="8189"/>
  <c r="AQ86" i="8189"/>
  <c r="AZ85" i="8189"/>
  <c r="AY85" i="8189"/>
  <c r="AW85" i="8189"/>
  <c r="AV85" i="8189"/>
  <c r="AU85" i="8189"/>
  <c r="AT85" i="8189"/>
  <c r="AS85" i="8189"/>
  <c r="AR85" i="8189"/>
  <c r="AQ85" i="8189"/>
  <c r="AZ84" i="8189"/>
  <c r="AY84" i="8189"/>
  <c r="AW84" i="8189"/>
  <c r="AV84" i="8189"/>
  <c r="AU84" i="8189"/>
  <c r="AT84" i="8189"/>
  <c r="AS84" i="8189"/>
  <c r="AR84" i="8189"/>
  <c r="AQ84" i="8189"/>
  <c r="AZ83" i="8189"/>
  <c r="AY83" i="8189"/>
  <c r="AW83" i="8189"/>
  <c r="AV83" i="8189"/>
  <c r="AU83" i="8189"/>
  <c r="AT83" i="8189"/>
  <c r="AS83" i="8189"/>
  <c r="AR83" i="8189"/>
  <c r="AQ83" i="8189"/>
  <c r="AZ82" i="8189"/>
  <c r="AY82" i="8189"/>
  <c r="AW82" i="8189"/>
  <c r="AV82" i="8189"/>
  <c r="AU82" i="8189"/>
  <c r="AT82" i="8189"/>
  <c r="AS82" i="8189"/>
  <c r="AR82" i="8189"/>
  <c r="AQ82" i="8189"/>
  <c r="AZ81" i="8189"/>
  <c r="AY81" i="8189"/>
  <c r="AW81" i="8189"/>
  <c r="AV81" i="8189"/>
  <c r="AU81" i="8189"/>
  <c r="AT81" i="8189"/>
  <c r="AS81" i="8189"/>
  <c r="AR81" i="8189"/>
  <c r="AQ81" i="8189"/>
  <c r="AZ80" i="8189"/>
  <c r="AY80" i="8189"/>
  <c r="AW80" i="8189"/>
  <c r="AV80" i="8189"/>
  <c r="AU80" i="8189"/>
  <c r="AT80" i="8189"/>
  <c r="AS80" i="8189"/>
  <c r="AR80" i="8189"/>
  <c r="AQ80" i="8189"/>
  <c r="AZ79" i="8189"/>
  <c r="AY79" i="8189"/>
  <c r="AW79" i="8189"/>
  <c r="AV79" i="8189"/>
  <c r="AU79" i="8189"/>
  <c r="AT79" i="8189"/>
  <c r="AS79" i="8189"/>
  <c r="AR79" i="8189"/>
  <c r="AQ79" i="8189"/>
  <c r="AZ78" i="8189"/>
  <c r="AY78" i="8189"/>
  <c r="AW78" i="8189"/>
  <c r="AV78" i="8189"/>
  <c r="AU78" i="8189"/>
  <c r="AT78" i="8189"/>
  <c r="AS78" i="8189"/>
  <c r="AR78" i="8189"/>
  <c r="AQ78" i="8189"/>
  <c r="AZ77" i="8189"/>
  <c r="AY77" i="8189"/>
  <c r="AW77" i="8189"/>
  <c r="AV77" i="8189"/>
  <c r="AU77" i="8189"/>
  <c r="AT77" i="8189"/>
  <c r="AS77" i="8189"/>
  <c r="AR77" i="8189"/>
  <c r="AQ77" i="8189"/>
  <c r="AZ76" i="8189"/>
  <c r="AY76" i="8189"/>
  <c r="AW76" i="8189"/>
  <c r="AV76" i="8189"/>
  <c r="AU76" i="8189"/>
  <c r="AT76" i="8189"/>
  <c r="AS76" i="8189"/>
  <c r="AR76" i="8189"/>
  <c r="AQ76" i="8189"/>
  <c r="AZ75" i="8189"/>
  <c r="AY75" i="8189"/>
  <c r="AW75" i="8189"/>
  <c r="AV75" i="8189"/>
  <c r="AU75" i="8189"/>
  <c r="AT75" i="8189"/>
  <c r="AS75" i="8189"/>
  <c r="AR75" i="8189"/>
  <c r="AQ75" i="8189"/>
  <c r="AZ74" i="8189"/>
  <c r="AY74" i="8189"/>
  <c r="AW74" i="8189"/>
  <c r="AV74" i="8189"/>
  <c r="AU74" i="8189"/>
  <c r="AT74" i="8189"/>
  <c r="AS74" i="8189"/>
  <c r="AR74" i="8189"/>
  <c r="AQ74" i="8189"/>
  <c r="AZ73" i="8189"/>
  <c r="AY73" i="8189"/>
  <c r="AW73" i="8189"/>
  <c r="AV73" i="8189"/>
  <c r="AU73" i="8189"/>
  <c r="AT73" i="8189"/>
  <c r="AS73" i="8189"/>
  <c r="AR73" i="8189"/>
  <c r="AQ73" i="8189"/>
  <c r="AZ72" i="8189"/>
  <c r="AY72" i="8189"/>
  <c r="AW72" i="8189"/>
  <c r="AV72" i="8189"/>
  <c r="AU72" i="8189"/>
  <c r="AT72" i="8189"/>
  <c r="AS72" i="8189"/>
  <c r="AR72" i="8189"/>
  <c r="AQ72" i="8189"/>
  <c r="AZ71" i="8189"/>
  <c r="AY71" i="8189"/>
  <c r="AW71" i="8189"/>
  <c r="AV71" i="8189"/>
  <c r="AU71" i="8189"/>
  <c r="AT71" i="8189"/>
  <c r="AS71" i="8189"/>
  <c r="AR71" i="8189"/>
  <c r="AQ71" i="8189"/>
  <c r="AZ70" i="8189"/>
  <c r="AY70" i="8189"/>
  <c r="AW70" i="8189"/>
  <c r="AV70" i="8189"/>
  <c r="AU70" i="8189"/>
  <c r="AT70" i="8189"/>
  <c r="AS70" i="8189"/>
  <c r="AR70" i="8189"/>
  <c r="AQ70" i="8189"/>
  <c r="AZ69" i="8189"/>
  <c r="AY69" i="8189"/>
  <c r="AW69" i="8189"/>
  <c r="AV69" i="8189"/>
  <c r="AU69" i="8189"/>
  <c r="AT69" i="8189"/>
  <c r="AS69" i="8189"/>
  <c r="AR69" i="8189"/>
  <c r="AQ69" i="8189"/>
  <c r="AZ68" i="8189"/>
  <c r="AY68" i="8189"/>
  <c r="AW68" i="8189"/>
  <c r="AV68" i="8189"/>
  <c r="AU68" i="8189"/>
  <c r="AT68" i="8189"/>
  <c r="AS68" i="8189"/>
  <c r="AR68" i="8189"/>
  <c r="AQ68" i="8189"/>
  <c r="AZ67" i="8189"/>
  <c r="AY67" i="8189"/>
  <c r="AW67" i="8189"/>
  <c r="AV67" i="8189"/>
  <c r="AU67" i="8189"/>
  <c r="AT67" i="8189"/>
  <c r="AS67" i="8189"/>
  <c r="AR67" i="8189"/>
  <c r="AQ67" i="8189"/>
  <c r="AZ66" i="8189"/>
  <c r="AY66" i="8189"/>
  <c r="AW66" i="8189"/>
  <c r="AV66" i="8189"/>
  <c r="AU66" i="8189"/>
  <c r="AT66" i="8189"/>
  <c r="AS66" i="8189"/>
  <c r="AR66" i="8189"/>
  <c r="AQ66" i="8189"/>
  <c r="AZ65" i="8189"/>
  <c r="AY65" i="8189"/>
  <c r="AW65" i="8189"/>
  <c r="AV65" i="8189"/>
  <c r="AU65" i="8189"/>
  <c r="AT65" i="8189"/>
  <c r="AS65" i="8189"/>
  <c r="AR65" i="8189"/>
  <c r="AQ65" i="8189"/>
  <c r="AZ64" i="8189"/>
  <c r="AY64" i="8189"/>
  <c r="AW64" i="8189"/>
  <c r="AV64" i="8189"/>
  <c r="AU64" i="8189"/>
  <c r="AT64" i="8189"/>
  <c r="AS64" i="8189"/>
  <c r="AR64" i="8189"/>
  <c r="AQ64" i="8189"/>
  <c r="AZ63" i="8189"/>
  <c r="AY63" i="8189"/>
  <c r="AW63" i="8189"/>
  <c r="AV63" i="8189"/>
  <c r="AU63" i="8189"/>
  <c r="AT63" i="8189"/>
  <c r="AS63" i="8189"/>
  <c r="AR63" i="8189"/>
  <c r="AQ63" i="8189"/>
  <c r="AZ62" i="8189"/>
  <c r="AY62" i="8189"/>
  <c r="AW62" i="8189"/>
  <c r="AV62" i="8189"/>
  <c r="AU62" i="8189"/>
  <c r="AT62" i="8189"/>
  <c r="AS62" i="8189"/>
  <c r="AR62" i="8189"/>
  <c r="AQ62" i="8189"/>
  <c r="AZ61" i="8189"/>
  <c r="AY61" i="8189"/>
  <c r="AW61" i="8189"/>
  <c r="AV61" i="8189"/>
  <c r="AU61" i="8189"/>
  <c r="AT61" i="8189"/>
  <c r="AS61" i="8189"/>
  <c r="AR61" i="8189"/>
  <c r="AQ61" i="8189"/>
  <c r="AZ60" i="8189"/>
  <c r="AY60" i="8189"/>
  <c r="AW60" i="8189"/>
  <c r="AV60" i="8189"/>
  <c r="AU60" i="8189"/>
  <c r="AT60" i="8189"/>
  <c r="AS60" i="8189"/>
  <c r="AR60" i="8189"/>
  <c r="AQ60" i="8189"/>
  <c r="AZ59" i="8189"/>
  <c r="AY59" i="8189"/>
  <c r="AW59" i="8189"/>
  <c r="AV59" i="8189"/>
  <c r="AU59" i="8189"/>
  <c r="AT59" i="8189"/>
  <c r="AS59" i="8189"/>
  <c r="AR59" i="8189"/>
  <c r="AQ59" i="8189"/>
  <c r="AZ58" i="8189"/>
  <c r="AY58" i="8189"/>
  <c r="AW58" i="8189"/>
  <c r="AV58" i="8189"/>
  <c r="AU58" i="8189"/>
  <c r="AT58" i="8189"/>
  <c r="AS58" i="8189"/>
  <c r="AR58" i="8189"/>
  <c r="AQ58" i="8189"/>
  <c r="AZ57" i="8189"/>
  <c r="AY57" i="8189"/>
  <c r="AW57" i="8189"/>
  <c r="AV57" i="8189"/>
  <c r="AU57" i="8189"/>
  <c r="AT57" i="8189"/>
  <c r="AS57" i="8189"/>
  <c r="AR57" i="8189"/>
  <c r="AQ57" i="8189"/>
  <c r="AZ56" i="8189"/>
  <c r="AY56" i="8189"/>
  <c r="AW56" i="8189"/>
  <c r="AV56" i="8189"/>
  <c r="AU56" i="8189"/>
  <c r="AT56" i="8189"/>
  <c r="AS56" i="8189"/>
  <c r="AR56" i="8189"/>
  <c r="AQ56" i="8189"/>
  <c r="AZ55" i="8189"/>
  <c r="AY55" i="8189"/>
  <c r="AW55" i="8189"/>
  <c r="AV55" i="8189"/>
  <c r="AU55" i="8189"/>
  <c r="AT55" i="8189"/>
  <c r="AS55" i="8189"/>
  <c r="AR55" i="8189"/>
  <c r="AQ55" i="8189"/>
  <c r="AZ54" i="8189"/>
  <c r="AY54" i="8189"/>
  <c r="AW54" i="8189"/>
  <c r="AV54" i="8189"/>
  <c r="AU54" i="8189"/>
  <c r="AT54" i="8189"/>
  <c r="AS54" i="8189"/>
  <c r="AR54" i="8189"/>
  <c r="AQ54" i="8189"/>
  <c r="AZ53" i="8189"/>
  <c r="AY53" i="8189"/>
  <c r="AW53" i="8189"/>
  <c r="AV53" i="8189"/>
  <c r="AU53" i="8189"/>
  <c r="AT53" i="8189"/>
  <c r="AS53" i="8189"/>
  <c r="AR53" i="8189"/>
  <c r="AQ53" i="8189"/>
  <c r="AZ52" i="8189"/>
  <c r="AY52" i="8189"/>
  <c r="AW52" i="8189"/>
  <c r="AV52" i="8189"/>
  <c r="AU52" i="8189"/>
  <c r="AT52" i="8189"/>
  <c r="AS52" i="8189"/>
  <c r="AR52" i="8189"/>
  <c r="AQ52" i="8189"/>
  <c r="AZ51" i="8189"/>
  <c r="AY51" i="8189"/>
  <c r="AW51" i="8189"/>
  <c r="AV51" i="8189"/>
  <c r="AU51" i="8189"/>
  <c r="AT51" i="8189"/>
  <c r="AS51" i="8189"/>
  <c r="AR51" i="8189"/>
  <c r="AQ51" i="8189"/>
  <c r="AZ50" i="8189"/>
  <c r="AY50" i="8189"/>
  <c r="AW50" i="8189"/>
  <c r="AV50" i="8189"/>
  <c r="AU50" i="8189"/>
  <c r="AT50" i="8189"/>
  <c r="AS50" i="8189"/>
  <c r="AR50" i="8189"/>
  <c r="AQ50" i="8189"/>
  <c r="AZ49" i="8189"/>
  <c r="AY49" i="8189"/>
  <c r="AW49" i="8189"/>
  <c r="AV49" i="8189"/>
  <c r="AU49" i="8189"/>
  <c r="AT49" i="8189"/>
  <c r="AS49" i="8189"/>
  <c r="AR49" i="8189"/>
  <c r="AQ49" i="8189"/>
  <c r="AZ48" i="8189"/>
  <c r="AY48" i="8189"/>
  <c r="AW48" i="8189"/>
  <c r="AV48" i="8189"/>
  <c r="AU48" i="8189"/>
  <c r="AT48" i="8189"/>
  <c r="AS48" i="8189"/>
  <c r="AR48" i="8189"/>
  <c r="AQ48" i="8189"/>
  <c r="AZ47" i="8189"/>
  <c r="AY47" i="8189"/>
  <c r="AW47" i="8189"/>
  <c r="AV47" i="8189"/>
  <c r="AU47" i="8189"/>
  <c r="AT47" i="8189"/>
  <c r="AS47" i="8189"/>
  <c r="AR47" i="8189"/>
  <c r="AQ47" i="8189"/>
  <c r="AZ46" i="8189"/>
  <c r="AY46" i="8189"/>
  <c r="AW46" i="8189"/>
  <c r="AV46" i="8189"/>
  <c r="AU46" i="8189"/>
  <c r="AT46" i="8189"/>
  <c r="AS46" i="8189"/>
  <c r="AR46" i="8189"/>
  <c r="AQ46" i="8189"/>
  <c r="AZ45" i="8189"/>
  <c r="AY45" i="8189"/>
  <c r="AW45" i="8189"/>
  <c r="AV45" i="8189"/>
  <c r="AU45" i="8189"/>
  <c r="AT45" i="8189"/>
  <c r="AS45" i="8189"/>
  <c r="AR45" i="8189"/>
  <c r="AQ45" i="8189"/>
  <c r="AZ44" i="8189"/>
  <c r="AY44" i="8189"/>
  <c r="AW44" i="8189"/>
  <c r="AV44" i="8189"/>
  <c r="AU44" i="8189"/>
  <c r="AT44" i="8189"/>
  <c r="AS44" i="8189"/>
  <c r="AR44" i="8189"/>
  <c r="AQ44" i="8189"/>
  <c r="AZ43" i="8189"/>
  <c r="AY43" i="8189"/>
  <c r="AW43" i="8189"/>
  <c r="AV43" i="8189"/>
  <c r="AU43" i="8189"/>
  <c r="AT43" i="8189"/>
  <c r="AS43" i="8189"/>
  <c r="AR43" i="8189"/>
  <c r="AQ43" i="8189"/>
  <c r="AZ42" i="8189"/>
  <c r="AY42" i="8189"/>
  <c r="AW42" i="8189"/>
  <c r="AV42" i="8189"/>
  <c r="AU42" i="8189"/>
  <c r="AT42" i="8189"/>
  <c r="AS42" i="8189"/>
  <c r="AR42" i="8189"/>
  <c r="AQ42" i="8189"/>
  <c r="AZ41" i="8189"/>
  <c r="AY41" i="8189"/>
  <c r="AW41" i="8189"/>
  <c r="AV41" i="8189"/>
  <c r="AU41" i="8189"/>
  <c r="AT41" i="8189"/>
  <c r="AS41" i="8189"/>
  <c r="AR41" i="8189"/>
  <c r="AQ41" i="8189"/>
  <c r="AZ40" i="8189"/>
  <c r="AY40" i="8189"/>
  <c r="AW40" i="8189"/>
  <c r="AV40" i="8189"/>
  <c r="AU40" i="8189"/>
  <c r="AT40" i="8189"/>
  <c r="AS40" i="8189"/>
  <c r="AR40" i="8189"/>
  <c r="AQ40" i="8189"/>
  <c r="AZ39" i="8189"/>
  <c r="AY39" i="8189"/>
  <c r="AW39" i="8189"/>
  <c r="AV39" i="8189"/>
  <c r="AU39" i="8189"/>
  <c r="AT39" i="8189"/>
  <c r="AS39" i="8189"/>
  <c r="AR39" i="8189"/>
  <c r="AQ39" i="8189"/>
  <c r="AZ38" i="8189"/>
  <c r="AY38" i="8189"/>
  <c r="AW38" i="8189"/>
  <c r="AV38" i="8189"/>
  <c r="AU38" i="8189"/>
  <c r="AT38" i="8189"/>
  <c r="AS38" i="8189"/>
  <c r="AR38" i="8189"/>
  <c r="AQ38" i="8189"/>
  <c r="AZ37" i="8189"/>
  <c r="AY37" i="8189"/>
  <c r="AW37" i="8189"/>
  <c r="AV37" i="8189"/>
  <c r="AU37" i="8189"/>
  <c r="AT37" i="8189"/>
  <c r="AS37" i="8189"/>
  <c r="AR37" i="8189"/>
  <c r="AQ37" i="8189"/>
  <c r="BB36" i="8189"/>
  <c r="AZ36" i="8189"/>
  <c r="AY36" i="8189"/>
  <c r="AX36" i="8189"/>
  <c r="AW36" i="8189"/>
  <c r="AV36" i="8189"/>
  <c r="AU36" i="8189"/>
  <c r="AT36" i="8189"/>
  <c r="AS36" i="8189"/>
  <c r="AR36" i="8189"/>
  <c r="AQ36" i="8189"/>
  <c r="AZ35" i="8189"/>
  <c r="AY35" i="8189"/>
  <c r="AW35" i="8189"/>
  <c r="AV35" i="8189"/>
  <c r="AU35" i="8189"/>
  <c r="AT35" i="8189"/>
  <c r="AS35" i="8189"/>
  <c r="AR35" i="8189"/>
  <c r="AQ35" i="8189"/>
  <c r="AZ34" i="8189"/>
  <c r="AY34" i="8189"/>
  <c r="AW34" i="8189"/>
  <c r="AV34" i="8189"/>
  <c r="AU34" i="8189"/>
  <c r="AT34" i="8189"/>
  <c r="AS34" i="8189"/>
  <c r="AR34" i="8189"/>
  <c r="AQ34" i="8189"/>
  <c r="AZ33" i="8189"/>
  <c r="AY33" i="8189"/>
  <c r="AW33" i="8189"/>
  <c r="AV33" i="8189"/>
  <c r="AU33" i="8189"/>
  <c r="AT33" i="8189"/>
  <c r="AS33" i="8189"/>
  <c r="AR33" i="8189"/>
  <c r="AQ33" i="8189"/>
  <c r="AZ32" i="8189"/>
  <c r="AY32" i="8189"/>
  <c r="AW32" i="8189"/>
  <c r="AV32" i="8189"/>
  <c r="AU32" i="8189"/>
  <c r="AT32" i="8189"/>
  <c r="AS32" i="8189"/>
  <c r="AR32" i="8189"/>
  <c r="AQ32" i="8189"/>
  <c r="AZ31" i="8189"/>
  <c r="AY31" i="8189"/>
  <c r="AW31" i="8189"/>
  <c r="AV31" i="8189"/>
  <c r="AU31" i="8189"/>
  <c r="AT31" i="8189"/>
  <c r="AS31" i="8189"/>
  <c r="AR31" i="8189"/>
  <c r="AQ31" i="8189"/>
  <c r="AZ30" i="8189"/>
  <c r="AY30" i="8189"/>
  <c r="AW30" i="8189"/>
  <c r="AV30" i="8189"/>
  <c r="AU30" i="8189"/>
  <c r="AT30" i="8189"/>
  <c r="AS30" i="8189"/>
  <c r="AR30" i="8189"/>
  <c r="AQ30" i="8189"/>
  <c r="AZ29" i="8189"/>
  <c r="AY29" i="8189"/>
  <c r="AW29" i="8189"/>
  <c r="AV29" i="8189"/>
  <c r="AU29" i="8189"/>
  <c r="AT29" i="8189"/>
  <c r="AS29" i="8189"/>
  <c r="AR29" i="8189"/>
  <c r="AQ29" i="8189"/>
  <c r="AZ28" i="8189"/>
  <c r="AY28" i="8189"/>
  <c r="AW28" i="8189"/>
  <c r="AV28" i="8189"/>
  <c r="AU28" i="8189"/>
  <c r="AT28" i="8189"/>
  <c r="AS28" i="8189"/>
  <c r="AR28" i="8189"/>
  <c r="AQ28" i="8189"/>
  <c r="AZ27" i="8189"/>
  <c r="AY27" i="8189"/>
  <c r="AW27" i="8189"/>
  <c r="AV27" i="8189"/>
  <c r="AU27" i="8189"/>
  <c r="AT27" i="8189"/>
  <c r="AS27" i="8189"/>
  <c r="AR27" i="8189"/>
  <c r="AQ27" i="8189"/>
  <c r="AZ26" i="8189"/>
  <c r="AY26" i="8189"/>
  <c r="AW26" i="8189"/>
  <c r="AV26" i="8189"/>
  <c r="AU26" i="8189"/>
  <c r="AT26" i="8189"/>
  <c r="AS26" i="8189"/>
  <c r="AR26" i="8189"/>
  <c r="AQ26" i="8189"/>
  <c r="AZ25" i="8189"/>
  <c r="AY25" i="8189"/>
  <c r="AW25" i="8189"/>
  <c r="AV25" i="8189"/>
  <c r="AU25" i="8189"/>
  <c r="AT25" i="8189"/>
  <c r="AS25" i="8189"/>
  <c r="AR25" i="8189"/>
  <c r="AQ25" i="8189"/>
  <c r="AZ24" i="8189"/>
  <c r="AY24" i="8189"/>
  <c r="AW24" i="8189"/>
  <c r="AV24" i="8189"/>
  <c r="AU24" i="8189"/>
  <c r="AT24" i="8189"/>
  <c r="AS24" i="8189"/>
  <c r="AR24" i="8189"/>
  <c r="AQ24" i="8189"/>
  <c r="AZ23" i="8189"/>
  <c r="AY23" i="8189"/>
  <c r="AW23" i="8189"/>
  <c r="AV23" i="8189"/>
  <c r="AU23" i="8189"/>
  <c r="AT23" i="8189"/>
  <c r="AS23" i="8189"/>
  <c r="AR23" i="8189"/>
  <c r="AQ23" i="8189"/>
  <c r="AZ22" i="8189"/>
  <c r="AY22" i="8189"/>
  <c r="AW22" i="8189"/>
  <c r="AV22" i="8189"/>
  <c r="AU22" i="8189"/>
  <c r="AT22" i="8189"/>
  <c r="AS22" i="8189"/>
  <c r="AR22" i="8189"/>
  <c r="AQ22" i="8189"/>
  <c r="AZ21" i="8189"/>
  <c r="AY21" i="8189"/>
  <c r="AW21" i="8189"/>
  <c r="AV21" i="8189"/>
  <c r="AU21" i="8189"/>
  <c r="AT21" i="8189"/>
  <c r="AS21" i="8189"/>
  <c r="AR21" i="8189"/>
  <c r="AQ21" i="8189"/>
  <c r="AZ20" i="8189"/>
  <c r="AY20" i="8189"/>
  <c r="AW20" i="8189"/>
  <c r="AV20" i="8189"/>
  <c r="AU20" i="8189"/>
  <c r="AT20" i="8189"/>
  <c r="AS20" i="8189"/>
  <c r="AR20" i="8189"/>
  <c r="AQ20" i="8189"/>
  <c r="AZ19" i="8189"/>
  <c r="AY19" i="8189"/>
  <c r="AW19" i="8189"/>
  <c r="AV19" i="8189"/>
  <c r="AU19" i="8189"/>
  <c r="AT19" i="8189"/>
  <c r="AS19" i="8189"/>
  <c r="AR19" i="8189"/>
  <c r="AQ19" i="8189"/>
  <c r="AZ18" i="8189"/>
  <c r="AY18" i="8189"/>
  <c r="AW18" i="8189"/>
  <c r="AV18" i="8189"/>
  <c r="AU18" i="8189"/>
  <c r="AT18" i="8189"/>
  <c r="AS18" i="8189"/>
  <c r="AR18" i="8189"/>
  <c r="AQ18" i="8189"/>
  <c r="AZ17" i="8189"/>
  <c r="AY17" i="8189"/>
  <c r="AW17" i="8189"/>
  <c r="AV17" i="8189"/>
  <c r="AU17" i="8189"/>
  <c r="AT17" i="8189"/>
  <c r="AS17" i="8189"/>
  <c r="AR17" i="8189"/>
  <c r="AQ17" i="8189"/>
  <c r="AZ16" i="8189"/>
  <c r="AY16" i="8189"/>
  <c r="AW16" i="8189"/>
  <c r="AV16" i="8189"/>
  <c r="AU16" i="8189"/>
  <c r="AT16" i="8189"/>
  <c r="AS16" i="8189"/>
  <c r="AR16" i="8189"/>
  <c r="AQ16" i="8189"/>
  <c r="AZ15" i="8189"/>
  <c r="AY15" i="8189"/>
  <c r="AW15" i="8189"/>
  <c r="AV15" i="8189"/>
  <c r="AU15" i="8189"/>
  <c r="AT15" i="8189"/>
  <c r="AS15" i="8189"/>
  <c r="AR15" i="8189"/>
  <c r="AQ15" i="8189"/>
  <c r="AZ14" i="8189"/>
  <c r="AY14" i="8189"/>
  <c r="AW14" i="8189"/>
  <c r="AV14" i="8189"/>
  <c r="AU14" i="8189"/>
  <c r="AT14" i="8189"/>
  <c r="AS14" i="8189"/>
  <c r="AR14" i="8189"/>
  <c r="AQ14" i="8189"/>
  <c r="AZ13" i="8189"/>
  <c r="AY13" i="8189"/>
  <c r="AW13" i="8189"/>
  <c r="AV13" i="8189"/>
  <c r="AU13" i="8189"/>
  <c r="AT13" i="8189"/>
  <c r="AS13" i="8189"/>
  <c r="AR13" i="8189"/>
  <c r="AQ13" i="8189"/>
  <c r="AZ12" i="8189"/>
  <c r="AY12" i="8189"/>
  <c r="AW12" i="8189"/>
  <c r="AV12" i="8189"/>
  <c r="AU12" i="8189"/>
  <c r="AT12" i="8189"/>
  <c r="AS12" i="8189"/>
  <c r="AR12" i="8189"/>
  <c r="AQ12" i="8189"/>
  <c r="AZ11" i="8189"/>
  <c r="AY11" i="8189"/>
  <c r="AW11" i="8189"/>
  <c r="AV11" i="8189"/>
  <c r="AU11" i="8189"/>
  <c r="AT11" i="8189"/>
  <c r="AS11" i="8189"/>
  <c r="AR11" i="8189"/>
  <c r="AQ11" i="8189"/>
  <c r="AZ10" i="8189"/>
  <c r="AY10" i="8189"/>
  <c r="AW10" i="8189"/>
  <c r="AV10" i="8189"/>
  <c r="AU10" i="8189"/>
  <c r="AT10" i="8189"/>
  <c r="AS10" i="8189"/>
  <c r="AR10" i="8189"/>
  <c r="AQ10" i="8189"/>
  <c r="AZ9" i="8189"/>
  <c r="AY9" i="8189"/>
  <c r="AW9" i="8189"/>
  <c r="AV9" i="8189"/>
  <c r="AU9" i="8189"/>
  <c r="AT9" i="8189"/>
  <c r="AS9" i="8189"/>
  <c r="AR9" i="8189"/>
  <c r="AQ9" i="8189"/>
  <c r="AZ8" i="8189"/>
  <c r="AY8" i="8189"/>
  <c r="AW8" i="8189"/>
  <c r="AV8" i="8189"/>
  <c r="AU8" i="8189"/>
  <c r="AT8" i="8189"/>
  <c r="AS8" i="8189"/>
  <c r="AR8" i="8189"/>
  <c r="AQ8" i="8189"/>
  <c r="AZ7" i="8189"/>
  <c r="AY7" i="8189"/>
  <c r="AW7" i="8189"/>
  <c r="AV7" i="8189"/>
  <c r="AU7" i="8189"/>
  <c r="AT7" i="8189"/>
  <c r="AS7" i="8189"/>
  <c r="AR7" i="8189"/>
  <c r="AQ7" i="8189"/>
  <c r="BB6" i="8189"/>
  <c r="AZ6" i="8189"/>
  <c r="AY6" i="8189"/>
  <c r="AX6" i="8189"/>
  <c r="AW6" i="8189"/>
  <c r="AV6" i="8189"/>
  <c r="AU6" i="8189"/>
  <c r="AT6" i="8189"/>
  <c r="AS6" i="8189"/>
  <c r="AR6" i="8189"/>
  <c r="AQ6" i="8189"/>
  <c r="BB5" i="8189"/>
  <c r="AZ5" i="8189"/>
  <c r="AY5" i="8189"/>
  <c r="AX5" i="8189"/>
  <c r="AW5" i="8189"/>
  <c r="AV5" i="8189"/>
  <c r="AU5" i="8189"/>
  <c r="AT5" i="8189"/>
  <c r="AS5" i="8189"/>
  <c r="AR5" i="8189"/>
  <c r="AQ5" i="8189"/>
  <c r="AZ4" i="8189"/>
  <c r="AY4" i="8189"/>
  <c r="AW4" i="8189"/>
  <c r="AV4" i="8189"/>
  <c r="AU4" i="8189"/>
  <c r="AT4" i="8189"/>
  <c r="AS4" i="8189"/>
  <c r="AR4" i="8189"/>
  <c r="AQ4" i="8189"/>
  <c r="AZ3" i="8189"/>
  <c r="AY3" i="8189"/>
  <c r="AW3" i="8189"/>
  <c r="AV3" i="8189"/>
  <c r="AU3" i="8189"/>
  <c r="AT3" i="8189"/>
  <c r="AS3" i="8189"/>
  <c r="AR3" i="8189"/>
  <c r="AQ3" i="8189"/>
  <c r="AZ2" i="8189"/>
  <c r="AY2" i="8189"/>
  <c r="AW2" i="8189"/>
  <c r="AV2" i="8189"/>
  <c r="AU2" i="8189"/>
  <c r="AT2" i="8189"/>
  <c r="AS2" i="8189"/>
  <c r="AR2" i="8189"/>
  <c r="AQ2" i="8189"/>
  <c r="A2" i="12"/>
  <c r="C2" i="12" s="1"/>
  <c r="B2" i="12" l="1"/>
  <c r="AX95" i="8189" l="1"/>
  <c r="BB95" i="8189" s="1"/>
  <c r="AX96" i="8189"/>
  <c r="BB96" i="8189" s="1"/>
  <c r="AX93" i="8189"/>
  <c r="BB93" i="8189" s="1"/>
  <c r="AX94" i="8189"/>
  <c r="BB94" i="8189" s="1"/>
  <c r="AX91" i="8189"/>
  <c r="BB91" i="8189" s="1"/>
  <c r="AX92" i="8189"/>
  <c r="BB92" i="8189" s="1"/>
  <c r="AX89" i="8189"/>
  <c r="BB89" i="8189" s="1"/>
  <c r="AX90" i="8189"/>
  <c r="BB90" i="8189" s="1"/>
  <c r="AX87" i="8189"/>
  <c r="BB87" i="8189" s="1"/>
  <c r="AX88" i="8189"/>
  <c r="BB88" i="8189" s="1"/>
  <c r="AX85" i="8189"/>
  <c r="BB85" i="8189" s="1"/>
  <c r="AX86" i="8189"/>
  <c r="BB86" i="8189" s="1"/>
  <c r="AX83" i="8189"/>
  <c r="BB83" i="8189" s="1"/>
  <c r="AX84" i="8189"/>
  <c r="BB84" i="8189" s="1"/>
  <c r="AX81" i="8189"/>
  <c r="BB81" i="8189" s="1"/>
  <c r="AX82" i="8189"/>
  <c r="BB82" i="8189" s="1"/>
  <c r="AX79" i="8189"/>
  <c r="BB79" i="8189" s="1"/>
  <c r="AX80" i="8189"/>
  <c r="BB80" i="8189" s="1"/>
  <c r="AX77" i="8189"/>
  <c r="BB77" i="8189" s="1"/>
  <c r="AX78" i="8189"/>
  <c r="BB78" i="8189" s="1"/>
  <c r="AX75" i="8189"/>
  <c r="BB75" i="8189" s="1"/>
  <c r="AX76" i="8189"/>
  <c r="BB76" i="8189" s="1"/>
  <c r="AX73" i="8189"/>
  <c r="BB73" i="8189" s="1"/>
  <c r="AX74" i="8189"/>
  <c r="BB74" i="8189" s="1"/>
  <c r="AX71" i="8189"/>
  <c r="BB71" i="8189" s="1"/>
  <c r="AX72" i="8189"/>
  <c r="BB72" i="8189" s="1"/>
  <c r="AX69" i="8189"/>
  <c r="BB69" i="8189" s="1"/>
  <c r="AX70" i="8189"/>
  <c r="BB70" i="8189" s="1"/>
  <c r="AX67" i="8189"/>
  <c r="BB67" i="8189" s="1"/>
  <c r="AX68" i="8189"/>
  <c r="BB68" i="8189" s="1"/>
  <c r="AX65" i="8189"/>
  <c r="BB65" i="8189" s="1"/>
  <c r="AX66" i="8189"/>
  <c r="BB66" i="8189" s="1"/>
  <c r="AX63" i="8189"/>
  <c r="BB63" i="8189" s="1"/>
  <c r="AX64" i="8189"/>
  <c r="BB64" i="8189" s="1"/>
  <c r="AX61" i="8189"/>
  <c r="BB61" i="8189" s="1"/>
  <c r="AX62" i="8189"/>
  <c r="BB62" i="8189" s="1"/>
  <c r="AX59" i="8189"/>
  <c r="BB59" i="8189" s="1"/>
  <c r="AX60" i="8189"/>
  <c r="BB60" i="8189" s="1"/>
  <c r="AX57" i="8189"/>
  <c r="BB57" i="8189" s="1"/>
  <c r="AX58" i="8189"/>
  <c r="BB58" i="8189" s="1"/>
  <c r="AX55" i="8189"/>
  <c r="BB55" i="8189" s="1"/>
  <c r="AX56" i="8189"/>
  <c r="BB56" i="8189" s="1"/>
  <c r="AX53" i="8189"/>
  <c r="BB53" i="8189" s="1"/>
  <c r="AX54" i="8189"/>
  <c r="BB54" i="8189" s="1"/>
  <c r="AX51" i="8189"/>
  <c r="BB51" i="8189" s="1"/>
  <c r="AX52" i="8189"/>
  <c r="BB52" i="8189" s="1"/>
  <c r="AX49" i="8189"/>
  <c r="BB49" i="8189" s="1"/>
  <c r="AX50" i="8189"/>
  <c r="BB50" i="8189" s="1"/>
  <c r="AX47" i="8189"/>
  <c r="BB47" i="8189" s="1"/>
  <c r="AX48" i="8189"/>
  <c r="BB48" i="8189" s="1"/>
  <c r="AX45" i="8189"/>
  <c r="BB45" i="8189" s="1"/>
  <c r="AX46" i="8189"/>
  <c r="BB46" i="8189" s="1"/>
  <c r="AX43" i="8189"/>
  <c r="BB43" i="8189" s="1"/>
  <c r="AX44" i="8189"/>
  <c r="BB44" i="8189" s="1"/>
  <c r="AX41" i="8189"/>
  <c r="BB41" i="8189" s="1"/>
  <c r="AX42" i="8189"/>
  <c r="BB42" i="8189" s="1"/>
  <c r="AX39" i="8189"/>
  <c r="BB39" i="8189" s="1"/>
  <c r="AX40" i="8189"/>
  <c r="BB40" i="8189" s="1"/>
  <c r="AX37" i="8189"/>
  <c r="BB37" i="8189" s="1"/>
  <c r="AX38" i="8189"/>
  <c r="BB38" i="8189" s="1"/>
  <c r="AX34" i="8189"/>
  <c r="BB34" i="8189" s="1"/>
  <c r="AX35" i="8189"/>
  <c r="BB35" i="8189" s="1"/>
  <c r="AX32" i="8189"/>
  <c r="BB32" i="8189" s="1"/>
  <c r="AX33" i="8189"/>
  <c r="BB33" i="8189" s="1"/>
  <c r="AX30" i="8189"/>
  <c r="BB30" i="8189" s="1"/>
  <c r="AX31" i="8189"/>
  <c r="BB31" i="8189" s="1"/>
  <c r="AX28" i="8189"/>
  <c r="BB28" i="8189" s="1"/>
  <c r="AX29" i="8189"/>
  <c r="BB29" i="8189" s="1"/>
  <c r="AX26" i="8189"/>
  <c r="BB26" i="8189" s="1"/>
  <c r="AX27" i="8189"/>
  <c r="BB27" i="8189" s="1"/>
  <c r="AX24" i="8189"/>
  <c r="BB24" i="8189" s="1"/>
  <c r="AX25" i="8189"/>
  <c r="BB25" i="8189" s="1"/>
  <c r="AX22" i="8189"/>
  <c r="BB22" i="8189" s="1"/>
  <c r="AX23" i="8189"/>
  <c r="BB23" i="8189" s="1"/>
  <c r="AX20" i="8189"/>
  <c r="BB20" i="8189" s="1"/>
  <c r="AX21" i="8189"/>
  <c r="BB21" i="8189" s="1"/>
  <c r="AX18" i="8189"/>
  <c r="BB18" i="8189" s="1"/>
  <c r="AX19" i="8189"/>
  <c r="BB19" i="8189" s="1"/>
  <c r="AX16" i="8189"/>
  <c r="BB16" i="8189" s="1"/>
  <c r="AX17" i="8189"/>
  <c r="BB17" i="8189" s="1"/>
  <c r="AX14" i="8189"/>
  <c r="BB14" i="8189" s="1"/>
  <c r="AX15" i="8189"/>
  <c r="BB15" i="8189" s="1"/>
  <c r="AX12" i="8189"/>
  <c r="BB12" i="8189" s="1"/>
  <c r="AX13" i="8189"/>
  <c r="BB13" i="8189" s="1"/>
  <c r="AX10" i="8189"/>
  <c r="BB10" i="8189" s="1"/>
  <c r="AX11" i="8189"/>
  <c r="BB11" i="8189" s="1"/>
  <c r="AX8" i="8189"/>
  <c r="BB8" i="8189" s="1"/>
  <c r="AX9" i="8189"/>
  <c r="BB9" i="8189" s="1"/>
  <c r="AX4" i="8189"/>
  <c r="BB4" i="8189" s="1"/>
  <c r="AX7" i="8189"/>
  <c r="BB7" i="8189" s="1"/>
  <c r="AX2" i="8189"/>
  <c r="BB2" i="8189" s="1"/>
  <c r="AX3" i="8189"/>
  <c r="BB3" i="8189" s="1"/>
</calcChain>
</file>

<file path=xl/sharedStrings.xml><?xml version="1.0" encoding="utf-8"?>
<sst xmlns="http://schemas.openxmlformats.org/spreadsheetml/2006/main" count="8022" uniqueCount="865">
  <si>
    <t>Sel.</t>
  </si>
  <si>
    <t>Progr.</t>
  </si>
  <si>
    <t>Nr. ord.</t>
  </si>
  <si>
    <t>Ser.</t>
  </si>
  <si>
    <t>Data ordine</t>
  </si>
  <si>
    <t>Cod.</t>
  </si>
  <si>
    <t>Ragione sociale</t>
  </si>
  <si>
    <t>Articolo</t>
  </si>
  <si>
    <t>Cod. Cliente</t>
  </si>
  <si>
    <t>Descrizione art. cliente</t>
  </si>
  <si>
    <t>Qta/kg OV</t>
  </si>
  <si>
    <t>Qta/kg evasa</t>
  </si>
  <si>
    <t>Qta/kg da ev.</t>
  </si>
  <si>
    <t>Data sped. utile</t>
  </si>
  <si>
    <t>Data cons. rich.</t>
  </si>
  <si>
    <t>Num Vs Ord</t>
  </si>
  <si>
    <t>Desc. vett.</t>
  </si>
  <si>
    <t>T-MIN</t>
  </si>
  <si>
    <t>T-MAX</t>
  </si>
  <si>
    <t>CONF</t>
  </si>
  <si>
    <t>Stato ordine</t>
  </si>
  <si>
    <t>Desc. Porto</t>
  </si>
  <si>
    <t>Desc Tipo Sp</t>
  </si>
  <si>
    <t>Descrizione</t>
  </si>
  <si>
    <t>Citta'</t>
  </si>
  <si>
    <t>Gruppo</t>
  </si>
  <si>
    <t>Sottofamigli</t>
  </si>
  <si>
    <t>Famiglia</t>
  </si>
  <si>
    <t>RUSTICO BRUNO + SODELE</t>
  </si>
  <si>
    <t>GP22</t>
  </si>
  <si>
    <t>RUSTICO BRUNO</t>
  </si>
  <si>
    <t>CURRO' TRASPORTI SRL</t>
  </si>
  <si>
    <t>CT20</t>
  </si>
  <si>
    <t>MANDORLE</t>
  </si>
  <si>
    <t>CT18</t>
  </si>
  <si>
    <t>DESTINATARIO</t>
  </si>
  <si>
    <t>SUCCHI</t>
  </si>
  <si>
    <t>G21</t>
  </si>
  <si>
    <t>P06</t>
  </si>
  <si>
    <t>G23</t>
  </si>
  <si>
    <t>DHL EXPRESS ITALY S.R.L.</t>
  </si>
  <si>
    <t>GP23</t>
  </si>
  <si>
    <t>P12</t>
  </si>
  <si>
    <t>CRT10</t>
  </si>
  <si>
    <t>CTP18</t>
  </si>
  <si>
    <t>RUSTICO BRUNO + CHRIS SRL</t>
  </si>
  <si>
    <t>BB20</t>
  </si>
  <si>
    <t>P11</t>
  </si>
  <si>
    <t>F50</t>
  </si>
  <si>
    <t>P13</t>
  </si>
  <si>
    <t>F25</t>
  </si>
  <si>
    <t>P31</t>
  </si>
  <si>
    <t>P18</t>
  </si>
  <si>
    <t>GIVA TRASPORTI + FRESH WAYS</t>
  </si>
  <si>
    <t>SP20</t>
  </si>
  <si>
    <t>L05</t>
  </si>
  <si>
    <t>MAIL BOXES ETC</t>
  </si>
  <si>
    <t>F250</t>
  </si>
  <si>
    <t>P69</t>
  </si>
  <si>
    <t>STEF Italia S.p.A.</t>
  </si>
  <si>
    <t>GIVA TRASPORTI SRL</t>
  </si>
  <si>
    <t>SCHENKER ITALIANA SPA</t>
  </si>
  <si>
    <t>P101</t>
  </si>
  <si>
    <t>P21</t>
  </si>
  <si>
    <t>P17</t>
  </si>
  <si>
    <t>TFM - MARTONE LOGISTICA SRL</t>
  </si>
  <si>
    <t>P22</t>
  </si>
  <si>
    <t>RUSTICO BRUNO + FRESH WAYS</t>
  </si>
  <si>
    <t>P/C</t>
  </si>
  <si>
    <t>Desc gr/sgru</t>
  </si>
  <si>
    <t>TIP.PROD.</t>
  </si>
  <si>
    <t>Des.inf.stat</t>
  </si>
  <si>
    <t>Num DOC</t>
  </si>
  <si>
    <t>provenienza</t>
  </si>
  <si>
    <t>Dataoggi</t>
  </si>
  <si>
    <t>Data critica per cli</t>
  </si>
  <si>
    <t>Data rif max sped</t>
  </si>
  <si>
    <t>PROPOSTA</t>
  </si>
  <si>
    <t>COD.IMB</t>
  </si>
  <si>
    <t>DESCRIZIONE CODICE IMBALLO</t>
  </si>
  <si>
    <t>KG X IMBALLO</t>
  </si>
  <si>
    <t>KG X PLT</t>
  </si>
  <si>
    <t xml:space="preserve">N. CONF X PLT </t>
  </si>
  <si>
    <t>TIPOLOGIA PLT</t>
  </si>
  <si>
    <t>MISURE PLT</t>
  </si>
  <si>
    <t>CATEGORIE PRODOTTO</t>
  </si>
  <si>
    <t>P11/PLT40EPAL</t>
  </si>
  <si>
    <t>SECCHIELLO IN PP DA KG 20 CAD. NETTO (FALDA ESTERNA/80X120)</t>
  </si>
  <si>
    <t>40X60</t>
  </si>
  <si>
    <t>40X60X60</t>
  </si>
  <si>
    <t>PASTA - VARIEGATO</t>
  </si>
  <si>
    <t>P11/PLT60EPAL</t>
  </si>
  <si>
    <t>P11/PLT80-EPAL</t>
  </si>
  <si>
    <t xml:space="preserve"> PLT EPAL 80X120</t>
  </si>
  <si>
    <t>80X120X60</t>
  </si>
  <si>
    <t>P11/PLT100-EPAL</t>
  </si>
  <si>
    <t>P11/PLT120-EPAL</t>
  </si>
  <si>
    <t>P11/PLT140-EPAL</t>
  </si>
  <si>
    <t>P11/PLT160-EPAL</t>
  </si>
  <si>
    <t>P11/PLT200-EPAL</t>
  </si>
  <si>
    <t>80X120X100</t>
  </si>
  <si>
    <t>P11/PLT240-EPAL</t>
  </si>
  <si>
    <t>P11/PLT300-EPAL</t>
  </si>
  <si>
    <t>P11/PLT360-EPAL</t>
  </si>
  <si>
    <t>P11/PLT400-EPAL</t>
  </si>
  <si>
    <t>80X120X140</t>
  </si>
  <si>
    <t>P11/PLT480-EPAL</t>
  </si>
  <si>
    <t>P11/PLT500-EPAL</t>
  </si>
  <si>
    <t>PASTA - VARIEGATO - SUCCHI</t>
  </si>
  <si>
    <t>P11/PLT640-EPAL</t>
  </si>
  <si>
    <t>80X120X175</t>
  </si>
  <si>
    <t>P11/PLT700-EPAL</t>
  </si>
  <si>
    <t>P12/PLT40PLA</t>
  </si>
  <si>
    <t>SECCHIELLO IN PP DA KG 20 CAD. NETTO CON BUSTA INTERNA IN PE (FALDA ESTERNA/80X120) SU PALLET IN PLASTICA</t>
  </si>
  <si>
    <t>PASTA</t>
  </si>
  <si>
    <t>P12/PLT60PLA</t>
  </si>
  <si>
    <t>P12/PLT80PLA</t>
  </si>
  <si>
    <t>PLT IN PLASTICA 80X120</t>
  </si>
  <si>
    <t>P12/PLT100PLA</t>
  </si>
  <si>
    <t>P12/PLT120PLA</t>
  </si>
  <si>
    <t>P12/PLT140PLA</t>
  </si>
  <si>
    <t>P12/PLT160PLA</t>
  </si>
  <si>
    <t>P12/PLT200PLA</t>
  </si>
  <si>
    <t>P12/PLT240PLA</t>
  </si>
  <si>
    <t>P12/PLT300PLA</t>
  </si>
  <si>
    <t>P12/PLT360PLA</t>
  </si>
  <si>
    <t>P12/PLT400PLA</t>
  </si>
  <si>
    <t>P12/PLT480PLA</t>
  </si>
  <si>
    <t>P12/PLT500PLA</t>
  </si>
  <si>
    <t>P12/PLT640PLA</t>
  </si>
  <si>
    <t>P12/PLT700PLA</t>
  </si>
  <si>
    <t>PP13/PLT300EPAL</t>
  </si>
  <si>
    <t>SECCHIELLO IN PP DA KG 20 CAD. NETTO CON BUSTA INTERNA IN PE (FALDA ESTERNA/80X120)</t>
  </si>
  <si>
    <t>PP13/PLT500EPAL</t>
  </si>
  <si>
    <t>PP18/PLT400EPAL</t>
  </si>
  <si>
    <t>N° 2 SECCHI DA KG. 2,500 CAD. NETTO IN CARTONE FORNITI DAL CLIENTE (Comprital)</t>
  </si>
  <si>
    <t>P18/PLT500EPAL</t>
  </si>
  <si>
    <t>PLT EPAL 80X120</t>
  </si>
  <si>
    <t>P21/PLT20EPAL</t>
  </si>
  <si>
    <t>N° 1 SECCHI DA KG. 10 CAD. NETTO IN CARTONE</t>
  </si>
  <si>
    <t>PASTA- CREMA ANIDRA</t>
  </si>
  <si>
    <t>P21/PLT40EPAL</t>
  </si>
  <si>
    <t>80X120X50</t>
  </si>
  <si>
    <t>P21/PLT60EPAL</t>
  </si>
  <si>
    <t>P21/PLT100EPAL</t>
  </si>
  <si>
    <t>80X120X75</t>
  </si>
  <si>
    <t>P21/PLT300EPAL</t>
  </si>
  <si>
    <t>80X120X130</t>
  </si>
  <si>
    <t>P21/PLT480EPAL</t>
  </si>
  <si>
    <t>80X120X155</t>
  </si>
  <si>
    <t>P21/PLT500EPAL</t>
  </si>
  <si>
    <t>80X120X180</t>
  </si>
  <si>
    <t>BSV1/PLT24EPAL</t>
  </si>
  <si>
    <t>BSV1</t>
  </si>
  <si>
    <t>N° 1 BUSTA SV DA KG 1 CAD. NETTO</t>
  </si>
  <si>
    <t>GRANELLA PRALINATA- GRANELLA</t>
  </si>
  <si>
    <t>BSV1/PLT60EPAL</t>
  </si>
  <si>
    <t>BSV1/PLT96EPAL</t>
  </si>
  <si>
    <t>CRT10/PLT150EPAL</t>
  </si>
  <si>
    <t>CARTONE DA KG 10 CAD. CON BUSTA INTERNA</t>
  </si>
  <si>
    <t>MANDORLE- FARINA</t>
  </si>
  <si>
    <t>CRT10/PLT300EPAL</t>
  </si>
  <si>
    <t>CRT10/PLT500EPAL</t>
  </si>
  <si>
    <t>CT18/PLT560EPAL</t>
  </si>
  <si>
    <t>NR. 2 BUSTE SV. /KG. 9 CAD. NETTO IN CARTONE SU PALLET IN LEGNO</t>
  </si>
  <si>
    <t>80X120X170</t>
  </si>
  <si>
    <t>GRANELLA</t>
  </si>
  <si>
    <t>CT20/PLT20EPAL</t>
  </si>
  <si>
    <t>(NR. 4 BUSTE SV. /KG. 5 CAD. NETTO IN CARTONE) ( NR. 2 BUSTE SV. /KG. 10 CAD. NETTO IN CARTONE)</t>
  </si>
  <si>
    <t>NOCCIOLE-GRANELLA- MANDORLE GRATINATE</t>
  </si>
  <si>
    <t>CT20/PLT100EPAL</t>
  </si>
  <si>
    <t>CT20/PLT500EPAL</t>
  </si>
  <si>
    <t>CT20/PLT720EPAL</t>
  </si>
  <si>
    <t>80X120X205</t>
  </si>
  <si>
    <t>CT21/PLT640EPAL</t>
  </si>
  <si>
    <t>CT21</t>
  </si>
  <si>
    <t>N° 4 BUSTE SV DA KG. 5 CAD. NETTO IN CARTONE</t>
  </si>
  <si>
    <t>80x120x170</t>
  </si>
  <si>
    <t>CTP18/PLT576PLA</t>
  </si>
  <si>
    <t>NR. 2 BUSTE SV. /KG. 9 CAD. NETTO IN CARTONE SU PALLET IN PLASTICA</t>
  </si>
  <si>
    <t>G16/PLT480PLA</t>
  </si>
  <si>
    <t>G16</t>
  </si>
  <si>
    <t>NR. 3 BUSTE SV. /KG. 5 CAD. NETTO IN CARTONE SU PALLET IN PLASTICA</t>
  </si>
  <si>
    <t>FARINA</t>
  </si>
  <si>
    <t>G21/PLT40EPAL</t>
  </si>
  <si>
    <t>GRANELLA- GRANELLA PRARLINATA-PISTACCHIO- MANDORLA</t>
  </si>
  <si>
    <t>G21/PLT60EPAL</t>
  </si>
  <si>
    <t>G21/PLT80EPAL</t>
  </si>
  <si>
    <t>G21/PLT100EPAL</t>
  </si>
  <si>
    <t>G21/PLT120EPAL</t>
  </si>
  <si>
    <t>G21/PLT140EPAL</t>
  </si>
  <si>
    <t>G21/PLT160EPAL</t>
  </si>
  <si>
    <t>G21/PLT180EPAL</t>
  </si>
  <si>
    <t>G21/PLT200EPAL</t>
  </si>
  <si>
    <t>G21/PLT240EPAL</t>
  </si>
  <si>
    <t>G21/PLT260EPAL</t>
  </si>
  <si>
    <t>G21/PLT320EPAL</t>
  </si>
  <si>
    <t>G21/PLT420EPAL</t>
  </si>
  <si>
    <t>G21/PLT480EPAL</t>
  </si>
  <si>
    <t>G21/PLT500EPAL</t>
  </si>
  <si>
    <t>G21/PLT640EPAL</t>
  </si>
  <si>
    <t>80x120x165</t>
  </si>
  <si>
    <t>G23/PLT640EPAL</t>
  </si>
  <si>
    <t>N° 4 BUSTE SV DA KG. 5 CAD. NETTO IN CARTONE SU PALLET IN PLASTICA</t>
  </si>
  <si>
    <t>G24/PLT230EPAL</t>
  </si>
  <si>
    <t>G24</t>
  </si>
  <si>
    <t>N° 8 BUSTE SV DA KG. 0,400 CAD. NETTO IN CARTONE</t>
  </si>
  <si>
    <t>GP22/PLT48EPAL</t>
  </si>
  <si>
    <t>N° 4 BUSTE SV DA KG. 6 CAD. NETTO IN CARTONE</t>
  </si>
  <si>
    <t>60X80</t>
  </si>
  <si>
    <t>60X80X60</t>
  </si>
  <si>
    <t>GRANELLA PRALINATA</t>
  </si>
  <si>
    <t>GP22/PLT72EPAL</t>
  </si>
  <si>
    <t>GP22/PLT96EPAL</t>
  </si>
  <si>
    <t>GP22/PLT120EPAL</t>
  </si>
  <si>
    <t>GP22/PLT144EPAL</t>
  </si>
  <si>
    <t>GP22/PLT216EPAL</t>
  </si>
  <si>
    <t>GP22/PLT432EPAL</t>
  </si>
  <si>
    <t>GP22/PLT640EPAL</t>
  </si>
  <si>
    <t>80x120x175</t>
  </si>
  <si>
    <t>GP22/PLT768EPAL</t>
  </si>
  <si>
    <t>GP23/PLT680PLA</t>
  </si>
  <si>
    <t>N° 4 BUSTE SV DA KG. 6 CAD. NETTO IN CARTONE SU PALLET IN PLASTICA</t>
  </si>
  <si>
    <t>GP23/PLT786PLA</t>
  </si>
  <si>
    <t>GP3/PLT180EPAL</t>
  </si>
  <si>
    <t>GP3</t>
  </si>
  <si>
    <t>N° 2 BUSTE SV DA KG. 1,5 CAD. NETTO IN CARTONE CON CUSCINETTI IMBOTTITI DI ARIA</t>
  </si>
  <si>
    <t>GP75/PLT90EPAL</t>
  </si>
  <si>
    <t>GP75</t>
  </si>
  <si>
    <t>N° 5 BUSTE SV DA KG. 1,5 CAD. NETTO IN CARTONE CON TRAMEZZE</t>
  </si>
  <si>
    <t>IBC1000/PLT1.000-100X120</t>
  </si>
  <si>
    <t>NR. 1 IBC / KG 10000</t>
  </si>
  <si>
    <t>PLT 100X120</t>
  </si>
  <si>
    <t>100x120x117</t>
  </si>
  <si>
    <t>VARIEGATO - PASTA-SUCCHI-COPERTURA</t>
  </si>
  <si>
    <t>P04/PLT720PLA</t>
  </si>
  <si>
    <t>P04</t>
  </si>
  <si>
    <t>N° 36 BAG IN BOX DA KG 20 CAD. NETTO SU PALLET 80X120 IN PLASTICA</t>
  </si>
  <si>
    <t>P06/PLT120X120</t>
  </si>
  <si>
    <t>ARCA COMBO DA KG 1200 CAD. NETTO</t>
  </si>
  <si>
    <t>PLT 120x120</t>
  </si>
  <si>
    <t>120X120X1132</t>
  </si>
  <si>
    <t>P10/PLT500PLA</t>
  </si>
  <si>
    <t>P10</t>
  </si>
  <si>
    <t>SECCHIELLO IN PP DA KG 20 CAD. NETTO (FALDA ESTERNA/80X120) SU PALLET IN PLASTICA</t>
  </si>
  <si>
    <t>P101/PLT350EPAL</t>
  </si>
  <si>
    <t>2 LATTE DA KG 3,500 CAD. NETTO IN CARTONE</t>
  </si>
  <si>
    <t>P22/PLT500EPAL</t>
  </si>
  <si>
    <t>SECCHIELLO IN PP DA KG 20 CAD. NETTO (PER FARINA)</t>
  </si>
  <si>
    <t>P25/PLT150EPAL</t>
  </si>
  <si>
    <t>P25</t>
  </si>
  <si>
    <t>N° 4 SECCHI DA KG. 2,500 CAD. NETTO IN CARTONE</t>
  </si>
  <si>
    <t>CREMA ANIDRA- VARIEGATO</t>
  </si>
  <si>
    <t>P26/PLT500EPAL</t>
  </si>
  <si>
    <t>P26</t>
  </si>
  <si>
    <t>N° 4 SECCHI DA KG. 2,500 CAD. NETTO IN CARTONE FORNITI DAL CLIENTE (Alvena)</t>
  </si>
  <si>
    <t>P31/PLT400EPAL</t>
  </si>
  <si>
    <t>FUSTI METALLICO DA KG 200</t>
  </si>
  <si>
    <t>P69/PLT10EPAL</t>
  </si>
  <si>
    <t>N° 2 SECCHI DA KG. 2,500 CAD. NETTO IN CARTONE (Edonè)</t>
  </si>
  <si>
    <t>40x60</t>
  </si>
  <si>
    <t>PASTA- VARIEGATO- CREMA ANIDRA</t>
  </si>
  <si>
    <t>P69/PLT20EPAL</t>
  </si>
  <si>
    <t>P69/PLT40EPAL</t>
  </si>
  <si>
    <t>P69/PLT50EPAL</t>
  </si>
  <si>
    <t>P69/PLT80EPAL</t>
  </si>
  <si>
    <t>P69/PLT100EPAL</t>
  </si>
  <si>
    <t>P69/PLT130EPAL</t>
  </si>
  <si>
    <t>P69/PLT150EPAL</t>
  </si>
  <si>
    <t>P69/PLT200EPAL</t>
  </si>
  <si>
    <t>P69/PLT240EPAL</t>
  </si>
  <si>
    <t>P69/PLT250EPAL</t>
  </si>
  <si>
    <t>P69/PLT325EPAL</t>
  </si>
  <si>
    <t>P69/PLT350EPAL</t>
  </si>
  <si>
    <t>P69/PLT450-100X120</t>
  </si>
  <si>
    <t>100x120x175</t>
  </si>
  <si>
    <t>P69/PLT550-100X120</t>
  </si>
  <si>
    <t>100X120X185</t>
  </si>
  <si>
    <t>PET200/PLT400EPAL</t>
  </si>
  <si>
    <t>PET200</t>
  </si>
  <si>
    <t>VASO IN PET DA GR 200 CAD. NETTO</t>
  </si>
  <si>
    <t>CREMA ANIDRA</t>
  </si>
  <si>
    <t>PET200/PLT600EPAL</t>
  </si>
  <si>
    <t>PP1/PLT5EPAL</t>
  </si>
  <si>
    <t>PP1</t>
  </si>
  <si>
    <t>N° 1 SECCHI DA KG. 1 CAD. NETTO IN CARTONE</t>
  </si>
  <si>
    <t>PP2.5/PLT5EPAL</t>
  </si>
  <si>
    <t>PP2.5</t>
  </si>
  <si>
    <t>N° 1 SECCHIELLO DA KG 2,5 CAD. NETTO</t>
  </si>
  <si>
    <t>PTNK18/PLT162EPAL</t>
  </si>
  <si>
    <t>PTNK18</t>
  </si>
  <si>
    <t>PACKAGING: N° 12 PET POTS IN CARTON /gr.150</t>
  </si>
  <si>
    <t>PTNK18/PLT198EPAL</t>
  </si>
  <si>
    <t>PTNK24/PLT296EPAL</t>
  </si>
  <si>
    <t>PTNK24</t>
  </si>
  <si>
    <t>PACKAGING: N° 12 PET POTS IN CARTON /gr.200</t>
  </si>
  <si>
    <t>PTNK24/PLT216EPAL</t>
  </si>
  <si>
    <t>IMBALLAGGI MIRTIZ/BB20</t>
  </si>
  <si>
    <t>BAG IN BOX DA 20 KG</t>
  </si>
  <si>
    <t>IMBALLAG MIRTIZ/F25</t>
  </si>
  <si>
    <t>FUSTO METALLICO DA 25 Kg</t>
  </si>
  <si>
    <t>OLIO ESSENZIALE - AROMA</t>
  </si>
  <si>
    <t>IMBALLAGGI MIRTIZ/SP20</t>
  </si>
  <si>
    <t>SECCHIELLI DA 20 KG</t>
  </si>
  <si>
    <t>SUCCHI- PUREA- CANDITI</t>
  </si>
  <si>
    <t>IMBALLAGGI MIRTIZ/F50</t>
  </si>
  <si>
    <t>FUSTO METALLICO DA 50 Kg</t>
  </si>
  <si>
    <t xml:space="preserve">OLIO ESSENZIALE </t>
  </si>
  <si>
    <t>P17/PLT275EPAL</t>
  </si>
  <si>
    <t>N° 1 LATTE DA KG 2,5 CAD. NETTO PERS.</t>
  </si>
  <si>
    <t>N.8 BUSTE SV DA KG 0,400 CAD. NETTO IN CARTONE</t>
  </si>
  <si>
    <t>IMBALLAGGI MIRTIZ/F10</t>
  </si>
  <si>
    <t>F10</t>
  </si>
  <si>
    <t xml:space="preserve">FUSTO METALLICO DA 10 Kg </t>
  </si>
  <si>
    <t>OLIO ESSENZIALE- AROMA</t>
  </si>
  <si>
    <t>PLT 40X60</t>
  </si>
  <si>
    <t>IMBALLAGGI MIRTIZ/L01</t>
  </si>
  <si>
    <t>L01</t>
  </si>
  <si>
    <t>LATTA DA 1 Kg</t>
  </si>
  <si>
    <t>IMBALLAGGI MIRTIZ/L05</t>
  </si>
  <si>
    <t xml:space="preserve">LATTA DA 5 KG </t>
  </si>
  <si>
    <t>IMBALLAGGI MIRTIZ/P00</t>
  </si>
  <si>
    <t>IMBALLAGGI MIRTIZ/L10</t>
  </si>
  <si>
    <t>L10</t>
  </si>
  <si>
    <t>LATTA DA 10 KG</t>
  </si>
  <si>
    <t>IMBALLAGGI MIRTIZ/F250</t>
  </si>
  <si>
    <t>FUSTO DA 250 KG</t>
  </si>
  <si>
    <t>Descrizione famiglia</t>
  </si>
  <si>
    <t>Descrizione sottofam</t>
  </si>
  <si>
    <t>tot Pallet</t>
  </si>
  <si>
    <t>Etichette di riga</t>
  </si>
  <si>
    <t>Totale complessivo</t>
  </si>
  <si>
    <t>resa</t>
  </si>
  <si>
    <t>cod</t>
  </si>
  <si>
    <t>venerdì</t>
  </si>
  <si>
    <t>qualsiasi</t>
  </si>
  <si>
    <t>lunedì</t>
  </si>
  <si>
    <t>n</t>
  </si>
  <si>
    <t>giorno</t>
  </si>
  <si>
    <t>Etichette di colonna</t>
  </si>
  <si>
    <t>_</t>
  </si>
  <si>
    <t>SAMMONTANA SPA Società Benefit</t>
  </si>
  <si>
    <t>_Qta/kg da ev.</t>
  </si>
  <si>
    <t>Codice vettore</t>
  </si>
  <si>
    <t>Estero</t>
  </si>
  <si>
    <t>giorno ritiro 1</t>
  </si>
  <si>
    <t>giorno ritiro 2</t>
  </si>
  <si>
    <t>martedì</t>
  </si>
  <si>
    <t>giovedì</t>
  </si>
  <si>
    <t>SteF Italia S.p.A.</t>
  </si>
  <si>
    <t>venerdi</t>
  </si>
  <si>
    <t>F.LL PARISI</t>
  </si>
  <si>
    <t>mercoledì</t>
  </si>
  <si>
    <t>estero</t>
  </si>
  <si>
    <t>nazionale</t>
  </si>
  <si>
    <t>Check Data sped. utile</t>
  </si>
  <si>
    <t>Check Data cons. rich.</t>
  </si>
  <si>
    <t>Check Desc Tipo Sp</t>
  </si>
  <si>
    <t>CAP</t>
  </si>
  <si>
    <t>Check Citta'</t>
  </si>
  <si>
    <t>CHK GEN</t>
  </si>
  <si>
    <t>P15</t>
  </si>
  <si>
    <t>IBC100</t>
  </si>
  <si>
    <t>P71</t>
  </si>
  <si>
    <t>CRT12</t>
  </si>
  <si>
    <t>P72</t>
  </si>
  <si>
    <t>No</t>
  </si>
  <si>
    <t>Sì</t>
  </si>
  <si>
    <t>?</t>
  </si>
  <si>
    <t>P100</t>
  </si>
  <si>
    <t>P15/PLT468EPAL</t>
  </si>
  <si>
    <t xml:space="preserve">4 SECCHIELLI DA KG 3 NETTO IN CARTONE </t>
  </si>
  <si>
    <t>CONF.: N° 2 LATTE IN BANDA STAGNATA DA KG 2,5 IN CARTONE PERSONALIZZATO</t>
  </si>
  <si>
    <t xml:space="preserve">2 SECCHIELLI IN PP DA KG 2 CAD NETTO IN CARTONE EDONE </t>
  </si>
  <si>
    <t>BC100</t>
  </si>
  <si>
    <t>BOTTIGLIA CILINDRICA  DA LT 1</t>
  </si>
  <si>
    <t>CONFEZIONI: N° 12 BOTTIGLIE IN VETRO DA KG 1 CAD. NETTO IN CARTONE</t>
  </si>
  <si>
    <t>N° 1 LATTA DA KG 5 CAD.
NETTO IN CARTONE -</t>
  </si>
  <si>
    <t>Check su data presa vettore</t>
  </si>
  <si>
    <t>Data cons. rich. INSERITA</t>
  </si>
  <si>
    <t>S</t>
  </si>
  <si>
    <t>Non evaso</t>
  </si>
  <si>
    <t>PRODOTTI MIRITZ</t>
  </si>
  <si>
    <t>PRODOTTI DI BARTOLO</t>
  </si>
  <si>
    <t>PRODOTTI COMMERCIALIZZATI</t>
  </si>
  <si>
    <t>50053 EMPOLI FI</t>
  </si>
  <si>
    <t>BCM3986</t>
  </si>
  <si>
    <t>ATTENZIONE: Giorno congruo presa vettore</t>
  </si>
  <si>
    <t>OK</t>
  </si>
  <si>
    <t>Dt. Scad.</t>
  </si>
  <si>
    <t>Data scadenza Contratto</t>
  </si>
  <si>
    <t>No settimana</t>
  </si>
  <si>
    <t>Qta/kg da ev</t>
  </si>
  <si>
    <t>(più elementi)</t>
  </si>
  <si>
    <t>DA CONTRATTO</t>
  </si>
  <si>
    <t>sabato</t>
  </si>
  <si>
    <t>SPOT</t>
  </si>
  <si>
    <t>ATTENZIONE: CAP non presente</t>
  </si>
  <si>
    <t>C</t>
  </si>
  <si>
    <t>ATTENZIONE: Data arrivo merce acquisti non presente</t>
  </si>
  <si>
    <t>PISTACHIO PASTE U</t>
  </si>
  <si>
    <t>-18° SAS</t>
  </si>
  <si>
    <t>CFSD303/CT25</t>
  </si>
  <si>
    <t>INSTANT COFFEE SPRAY DRIED 303</t>
  </si>
  <si>
    <t>94310</t>
  </si>
  <si>
    <t>PRE GEL SPA</t>
  </si>
  <si>
    <t>42122 GAVASSETO (RE)</t>
  </si>
  <si>
    <t>SFRGCL65/BB20</t>
  </si>
  <si>
    <t>1085/BB20</t>
  </si>
  <si>
    <t>SUCCO DI FRAGOLA CONCENTRATO LIMPIDO 65 BX</t>
  </si>
  <si>
    <t>#N/A</t>
  </si>
  <si>
    <t>37386</t>
  </si>
  <si>
    <t>699/0</t>
  </si>
  <si>
    <t>700/0</t>
  </si>
  <si>
    <t>TRASPORTI RECUPERO SRL</t>
  </si>
  <si>
    <t>DDP</t>
  </si>
  <si>
    <t>VETTORE</t>
  </si>
  <si>
    <t>ARANCIA</t>
  </si>
  <si>
    <t>PRODOTTO FINITO</t>
  </si>
  <si>
    <t>PASTE</t>
  </si>
  <si>
    <t>PISTACCHIO</t>
  </si>
  <si>
    <t>CT25</t>
  </si>
  <si>
    <t>CAFFE'</t>
  </si>
  <si>
    <t>SOLUBILE</t>
  </si>
  <si>
    <t>SAMMONTANA SPA</t>
  </si>
  <si>
    <t>GRANELLE</t>
  </si>
  <si>
    <t>PISTACCHI SGUSCIATI TOSTAT</t>
  </si>
  <si>
    <t>AROMI</t>
  </si>
  <si>
    <t>SEMILAVORATO</t>
  </si>
  <si>
    <t>FRAGOLA CONC. LIMPIDO</t>
  </si>
  <si>
    <t>AMORINO</t>
  </si>
  <si>
    <t>2</t>
  </si>
  <si>
    <t>Città OK</t>
  </si>
  <si>
    <t>P</t>
  </si>
  <si>
    <t>ATTENZIONE: Data produzione non pianificata</t>
  </si>
  <si>
    <t>1</t>
  </si>
  <si>
    <t>Data sped. utile INSERITA</t>
  </si>
  <si>
    <t>6</t>
  </si>
  <si>
    <t>BCF37110</t>
  </si>
  <si>
    <t>475/800</t>
  </si>
  <si>
    <t>PAWEL BIELAWSKI CALATABIANO FOOD INGREDIENTS</t>
  </si>
  <si>
    <t>PPAPG3/P11</t>
  </si>
  <si>
    <t>PPAPG1/ P11</t>
  </si>
  <si>
    <t>LESS MESS STORAGE</t>
  </si>
  <si>
    <t>32-060 KRISPINOW (KRAK</t>
  </si>
  <si>
    <t>715/OP</t>
  </si>
  <si>
    <t>715/0</t>
  </si>
  <si>
    <t>OLI ESSENZIALI</t>
  </si>
  <si>
    <t>LA SUISSA S.R.L.</t>
  </si>
  <si>
    <t>LA SUISSA</t>
  </si>
  <si>
    <t>15061 ARQUATA SCRIVIA</t>
  </si>
  <si>
    <t>GLACES DE BOURBON</t>
  </si>
  <si>
    <t>PPAPG2/P11</t>
  </si>
  <si>
    <t>RDT LOG</t>
  </si>
  <si>
    <t>13310 SAINT-MARTIN-DE-</t>
  </si>
  <si>
    <t>100687</t>
  </si>
  <si>
    <t>722/0</t>
  </si>
  <si>
    <t>COPG702/IBC1000</t>
  </si>
  <si>
    <t>MPCC245/IBC1000</t>
  </si>
  <si>
    <t>VARIEGATO CACAO NOCCIOLE NO LATTE GIRASOLE</t>
  </si>
  <si>
    <t>37030 VERONA</t>
  </si>
  <si>
    <t>VARIEGATI</t>
  </si>
  <si>
    <t>GIANDUIA</t>
  </si>
  <si>
    <t>25OF022681-1</t>
  </si>
  <si>
    <t>MENZ&amp;GASSER SPA</t>
  </si>
  <si>
    <t>0</t>
  </si>
  <si>
    <t>SP005</t>
  </si>
  <si>
    <t>731/0</t>
  </si>
  <si>
    <t>732/0</t>
  </si>
  <si>
    <t>MPGRMPT50825SAL/G21</t>
  </si>
  <si>
    <t>AFR753110/G21</t>
  </si>
  <si>
    <t>Granella di Mandorle Pel. Tostate Salate IT Grande</t>
  </si>
  <si>
    <t>MANDORLE PELATE TOSTATE</t>
  </si>
  <si>
    <t>OEARAN001/F10</t>
  </si>
  <si>
    <t>3352/F10</t>
  </si>
  <si>
    <t>OLIO ESSENZIALE DI ARANCIA DOLCE SICILIA OEARAN001</t>
  </si>
  <si>
    <t>37499</t>
  </si>
  <si>
    <t>735/0</t>
  </si>
  <si>
    <t>GRPSTS51125SAL/G21</t>
  </si>
  <si>
    <t>AFR753111/G21</t>
  </si>
  <si>
    <t>Granella di Pistacchi Sg. Tostati Salati IT Grande</t>
  </si>
  <si>
    <t>EXW OUR WAREHOUSE</t>
  </si>
  <si>
    <t>MATERIA PRIMA</t>
  </si>
  <si>
    <t>GOLOSI DI SALUTE SRL</t>
  </si>
  <si>
    <t>PPAPG4/P11</t>
  </si>
  <si>
    <t>1830052/P11</t>
  </si>
  <si>
    <t>PASTA PISTACCHIO CALIFORNIA</t>
  </si>
  <si>
    <t>12066 MONTICELLO D'ALB</t>
  </si>
  <si>
    <t>A 2500364</t>
  </si>
  <si>
    <t>COMPRITAL SPA</t>
  </si>
  <si>
    <t>PPM3773/P18</t>
  </si>
  <si>
    <t>PF103PCL/P18</t>
  </si>
  <si>
    <t>PISTACCHIO EXTRA</t>
  </si>
  <si>
    <t>20090 SETTALA MI</t>
  </si>
  <si>
    <t>1339</t>
  </si>
  <si>
    <t>532/800</t>
  </si>
  <si>
    <t>80</t>
  </si>
  <si>
    <t>531/800</t>
  </si>
  <si>
    <t>NUTKAO S.R.L.</t>
  </si>
  <si>
    <t>PPAPG22/IBC1000</t>
  </si>
  <si>
    <t>MP302/IBC1000</t>
  </si>
  <si>
    <t>PASTA DI PISTACCHIO</t>
  </si>
  <si>
    <t>NUTKAO S.r.l.</t>
  </si>
  <si>
    <t>12040 CANOVE DI GOVONE</t>
  </si>
  <si>
    <t>4500023958</t>
  </si>
  <si>
    <t>4500023959</t>
  </si>
  <si>
    <t>763/0</t>
  </si>
  <si>
    <t>764/0</t>
  </si>
  <si>
    <t>AFR753110/BSV500</t>
  </si>
  <si>
    <t>BSV500</t>
  </si>
  <si>
    <t>MPGRMPT50825SAL/B500</t>
  </si>
  <si>
    <t>MPGRMPT50625SAL/G21</t>
  </si>
  <si>
    <t>AFR753010/G21</t>
  </si>
  <si>
    <t>Granella di Mandorle Pel Tost Sal E Grande</t>
  </si>
  <si>
    <t>LCO2501058</t>
  </si>
  <si>
    <t>GRPST51225SAL/G21</t>
  </si>
  <si>
    <t>AFR753011/G21</t>
  </si>
  <si>
    <t>Granella di Pistacchi Sgusciati Tost Sal E Grande</t>
  </si>
  <si>
    <t>LCO2501060</t>
  </si>
  <si>
    <t>ESKIGEL S.R.L.</t>
  </si>
  <si>
    <t>PP1012/P10</t>
  </si>
  <si>
    <t>11000084/P10</t>
  </si>
  <si>
    <t>PASTA PISTACCHIO S 11000084</t>
  </si>
  <si>
    <t>05100 TERNI TR</t>
  </si>
  <si>
    <t>25005794 OP</t>
  </si>
  <si>
    <t>PPAPG2/P10</t>
  </si>
  <si>
    <t>11001335/P10</t>
  </si>
  <si>
    <t>PASTA PISTACCHIO U 11001335</t>
  </si>
  <si>
    <t>GRPST51125/G23</t>
  </si>
  <si>
    <t>14000105/G23</t>
  </si>
  <si>
    <t>GRANELLA DI PISTACCHI TOSTATI S 14000105 CAL. 2/4</t>
  </si>
  <si>
    <t>768/0</t>
  </si>
  <si>
    <t>770/0</t>
  </si>
  <si>
    <t>776/0</t>
  </si>
  <si>
    <t>25</t>
  </si>
  <si>
    <t>777/0</t>
  </si>
  <si>
    <t>778/0</t>
  </si>
  <si>
    <t>32</t>
  </si>
  <si>
    <t>GRPSTS51125SAL/B500</t>
  </si>
  <si>
    <t>AFR753111/B500</t>
  </si>
  <si>
    <t>MPGRMPT50625SAL/B500</t>
  </si>
  <si>
    <t>AFR753010/B500</t>
  </si>
  <si>
    <t>GRPST51225SAL/BSV500</t>
  </si>
  <si>
    <t>AFR753011/BSV500</t>
  </si>
  <si>
    <t>SIGEL GELATI S.R.L.</t>
  </si>
  <si>
    <t>MPMPT212/CT20</t>
  </si>
  <si>
    <t>MPT212/CT20</t>
  </si>
  <si>
    <t>MANDORLE PELATE TOSTATE CAL. 34/36</t>
  </si>
  <si>
    <t>91025 MARSALA TP</t>
  </si>
  <si>
    <t>PELATE TOSTATE</t>
  </si>
  <si>
    <t>EMAIL 11/02/25</t>
  </si>
  <si>
    <t>GLACES DES ALPES</t>
  </si>
  <si>
    <t>PPDOP001/PP2.5</t>
  </si>
  <si>
    <t>PIST. PASTE WITH 100% GREEN PISTACHIO FROM BRONTE</t>
  </si>
  <si>
    <t>74350 ALLONIZER LA CAI</t>
  </si>
  <si>
    <t>551/OP</t>
  </si>
  <si>
    <t>POLE SUD</t>
  </si>
  <si>
    <t>PP1011/P11</t>
  </si>
  <si>
    <t>PP1070/P11</t>
  </si>
  <si>
    <t>PISTACHIO PASTE S ( Italy/Sicily)</t>
  </si>
  <si>
    <t>11200 LEZIGNAN CORBIER</t>
  </si>
  <si>
    <t>22255</t>
  </si>
  <si>
    <t>LIMONE</t>
  </si>
  <si>
    <t>244/0</t>
  </si>
  <si>
    <t>ATTENZIONE: Data non inserita</t>
  </si>
  <si>
    <t>266/0</t>
  </si>
  <si>
    <t>551/800</t>
  </si>
  <si>
    <t>779/0</t>
  </si>
  <si>
    <t>FRONERI ICE CREAM DEUTSCHLAND GMBH</t>
  </si>
  <si>
    <t>11004924/P10</t>
  </si>
  <si>
    <t>FRONERI ICE CREAM DEUT</t>
  </si>
  <si>
    <t>49080 OSNABRUECK</t>
  </si>
  <si>
    <t>25018959 OP</t>
  </si>
  <si>
    <t>DISARONNO INGREDIENTS S.P.A.</t>
  </si>
  <si>
    <t>DISARONNO INGREDIENTS</t>
  </si>
  <si>
    <t>36077 ALTAVILLA VICENT</t>
  </si>
  <si>
    <t>781/0</t>
  </si>
  <si>
    <t>ATTENZIONE: Ritardo, Avvertire il cliente</t>
  </si>
  <si>
    <t>ELAH DUFOUR S.P.A.</t>
  </si>
  <si>
    <t>15067 NOVI LIGURE (AL)</t>
  </si>
  <si>
    <t>MSGTT3436/G21</t>
  </si>
  <si>
    <t>21906/ G21</t>
  </si>
  <si>
    <t>MANDORLE SGUSCIATE TOSTATE CAL. 34/36 QUAL. TUONO</t>
  </si>
  <si>
    <t>SGUSCIATE TOSTATE</t>
  </si>
  <si>
    <t>OA-25-3199</t>
  </si>
  <si>
    <t>SARAMCT40/BB20</t>
  </si>
  <si>
    <t>500042208/BB20</t>
  </si>
  <si>
    <t>ARANCIA AMARA SUCCO CONC. TORBIDO 40 Bx-SICILIA</t>
  </si>
  <si>
    <t>ARANCE AMARE CONC. TORBIDO</t>
  </si>
  <si>
    <t>SARAMCT40/SP005</t>
  </si>
  <si>
    <t>500042208/SP005</t>
  </si>
  <si>
    <t>ARANCIA AMARA SUCCO CONC. TORBIDO 40 BX-SICILIA</t>
  </si>
  <si>
    <t>557/800</t>
  </si>
  <si>
    <t>MPGR241ISCC/G23</t>
  </si>
  <si>
    <t>MPGR272/G23</t>
  </si>
  <si>
    <t>GRAN MAND PELATE TOST SICILIA 2-4 mm ISCC PLUS-SG</t>
  </si>
  <si>
    <t>25OF025373-1</t>
  </si>
  <si>
    <t>PP1010/P12</t>
  </si>
  <si>
    <t>MPPA035 /P12</t>
  </si>
  <si>
    <t>PASTA PISTACCHIO SL</t>
  </si>
  <si>
    <t>MPPA022ISCC/P12</t>
  </si>
  <si>
    <t>MPPA065/P12</t>
  </si>
  <si>
    <t>PASTA DI MANDORLE 100% ISCC PLUS-SG</t>
  </si>
  <si>
    <t>784/0</t>
  </si>
  <si>
    <t>785/0</t>
  </si>
  <si>
    <t>786/0</t>
  </si>
  <si>
    <t>GRPST51225/G21</t>
  </si>
  <si>
    <t>FABBRI 1905 SPA</t>
  </si>
  <si>
    <t>PC6570/P13</t>
  </si>
  <si>
    <t>0156450/P13</t>
  </si>
  <si>
    <t>CAFFE' PASTA OLEOSA</t>
  </si>
  <si>
    <t>40011 ANZOLA DELL'EMIL</t>
  </si>
  <si>
    <t>P250008306-1</t>
  </si>
  <si>
    <t>PC6570/PP05</t>
  </si>
  <si>
    <t>0156450/PP05</t>
  </si>
  <si>
    <t>PP05</t>
  </si>
  <si>
    <t>AQ2510588</t>
  </si>
  <si>
    <t>787/0</t>
  </si>
  <si>
    <t>15</t>
  </si>
  <si>
    <t>788/0</t>
  </si>
  <si>
    <t>FASSI ISTITUTO BIOFARMACEUTICO SPA</t>
  </si>
  <si>
    <t>OE.LIM.BIO/F05</t>
  </si>
  <si>
    <t xml:space="preserve">   OE.LIM.BIO</t>
  </si>
  <si>
    <t>OLIO ESSENZIALE DI LIMONE SICILIA BIOLOGICO</t>
  </si>
  <si>
    <t>F05</t>
  </si>
  <si>
    <t>FASSI ISTITUTO BIOFARM</t>
  </si>
  <si>
    <t>18027 CHIUSANICO IM</t>
  </si>
  <si>
    <t>790/OP</t>
  </si>
  <si>
    <t>790/0</t>
  </si>
  <si>
    <t>789/0</t>
  </si>
  <si>
    <t>PTRN5953/P10</t>
  </si>
  <si>
    <t>11000062/ P10</t>
  </si>
  <si>
    <t>PASTA TORRONCINO SOLUBILE OE</t>
  </si>
  <si>
    <t>TORRONCINO</t>
  </si>
  <si>
    <t>COPP10-1/P10</t>
  </si>
  <si>
    <t>14003850/P10</t>
  </si>
  <si>
    <t>SALSA ANIDRA PISTACCHIO</t>
  </si>
  <si>
    <t>MITTENTE</t>
  </si>
  <si>
    <t>BCF37524</t>
  </si>
  <si>
    <t>AUSTRALIANSIAN FOOD GROUP TRADING AS ICE PETERS ICE CREAM</t>
  </si>
  <si>
    <t>GRPST51225/G23</t>
  </si>
  <si>
    <t>60066429/G23</t>
  </si>
  <si>
    <t>Pistachio Diced 2-4mm T 20kg</t>
  </si>
  <si>
    <t>2071431</t>
  </si>
  <si>
    <t>2071432</t>
  </si>
  <si>
    <t>559/800</t>
  </si>
  <si>
    <t>560/800</t>
  </si>
  <si>
    <t>791/0</t>
  </si>
  <si>
    <t>792/0</t>
  </si>
  <si>
    <t>793/0</t>
  </si>
  <si>
    <t>PPAPG2/P12</t>
  </si>
  <si>
    <t>MPPA034/P12</t>
  </si>
  <si>
    <t>PASTA PISTACCHIO U MPPA034</t>
  </si>
  <si>
    <t>25OF025783-1</t>
  </si>
  <si>
    <t>MSGT3436/G21</t>
  </si>
  <si>
    <t>MANDORLE TUONO SGUSCIATE CAL. 34/36</t>
  </si>
  <si>
    <t>SGUSCIATE</t>
  </si>
  <si>
    <t>1494</t>
  </si>
  <si>
    <t>MSGT3436/G5</t>
  </si>
  <si>
    <t>G5</t>
  </si>
  <si>
    <t>MTG/G21</t>
  </si>
  <si>
    <t>MANDORLE TUONO IN GUSCIO</t>
  </si>
  <si>
    <t>GUSCIO</t>
  </si>
  <si>
    <t>MTG/G5</t>
  </si>
  <si>
    <t>795/0</t>
  </si>
  <si>
    <t>561/800</t>
  </si>
  <si>
    <t>GRPM41368/GP22</t>
  </si>
  <si>
    <t>AFR753112/GP22</t>
  </si>
  <si>
    <t>GRANELLA DI MANDORLA SGUSCIATE PRALINATE 6-8 MM</t>
  </si>
  <si>
    <t>GRANELLE PRALINATE</t>
  </si>
  <si>
    <t>LCO2501152</t>
  </si>
  <si>
    <t>GRPM41368/BSV500</t>
  </si>
  <si>
    <t>AFR753112/BSV500</t>
  </si>
  <si>
    <t>LCO2501153</t>
  </si>
  <si>
    <t>LCO2501154</t>
  </si>
  <si>
    <t>796/0</t>
  </si>
  <si>
    <t>797/0</t>
  </si>
  <si>
    <t>798/0</t>
  </si>
  <si>
    <t>BARATTI &amp; MILANO SRL</t>
  </si>
  <si>
    <t>PMPT2071/P11</t>
  </si>
  <si>
    <t>B21905/P11</t>
  </si>
  <si>
    <t>PASTA DI MANDORLE PELATE TOSTATE  B21905</t>
  </si>
  <si>
    <t>12042 BRA CN</t>
  </si>
  <si>
    <t>563/OP</t>
  </si>
  <si>
    <t>LCO2501155</t>
  </si>
  <si>
    <t>LCO2501156</t>
  </si>
  <si>
    <t>C.D.T. TOMARCHIO SRL</t>
  </si>
  <si>
    <t>MPNOCPT90/CT21</t>
  </si>
  <si>
    <t>_MP301/CT21</t>
  </si>
  <si>
    <t>NOCCIOLE TOSTATE IT CAL. 13/15 MM</t>
  </si>
  <si>
    <t>95045 MISTERBIANCO CT</t>
  </si>
  <si>
    <t>NOCCIOLE</t>
  </si>
  <si>
    <t>564/OP</t>
  </si>
  <si>
    <t>M1262/P11</t>
  </si>
  <si>
    <t>PASTA DI MANDORLE PELATE TOSTATE KG. 20</t>
  </si>
  <si>
    <t>1527</t>
  </si>
  <si>
    <t>563/800</t>
  </si>
  <si>
    <t>799/0</t>
  </si>
  <si>
    <t>800/0</t>
  </si>
  <si>
    <t>564/800</t>
  </si>
  <si>
    <t>801/0</t>
  </si>
  <si>
    <t>HANSENS FLODEIS</t>
  </si>
  <si>
    <t>PP2019B/P21</t>
  </si>
  <si>
    <t>PP2019B</t>
  </si>
  <si>
    <t>ORGANIC PISTACHIO PASTE</t>
  </si>
  <si>
    <t>3630 JAEGERPRIS (DANIM</t>
  </si>
  <si>
    <t>PISTACCHI BIO</t>
  </si>
  <si>
    <t>566/OP</t>
  </si>
  <si>
    <t>566/800</t>
  </si>
  <si>
    <t>PASTA PISTACCHIO S</t>
  </si>
  <si>
    <t>568/OP</t>
  </si>
  <si>
    <t>ARPAN001/F10</t>
  </si>
  <si>
    <t>MP10/F10</t>
  </si>
  <si>
    <t>AROMA PANETTONE</t>
  </si>
  <si>
    <t>PANETTONE</t>
  </si>
  <si>
    <t>569/OP</t>
  </si>
  <si>
    <t>568/800</t>
  </si>
  <si>
    <t>569/800</t>
  </si>
  <si>
    <t>GRPP40224/GP22</t>
  </si>
  <si>
    <t>B21924/GP22</t>
  </si>
  <si>
    <t>GRANELLA DI PISTACCHI PRALINATA ARTIG. 407 CAL.2/4</t>
  </si>
  <si>
    <t>PISTACCHI</t>
  </si>
  <si>
    <t>802/OP</t>
  </si>
  <si>
    <t>LCO2501172</t>
  </si>
  <si>
    <t>LCO2501173</t>
  </si>
  <si>
    <t>UNIGRA S.p.A</t>
  </si>
  <si>
    <t>PLM2086/P31</t>
  </si>
  <si>
    <t>M 5704LMF/P31</t>
  </si>
  <si>
    <t>PASTA LATTE DI MANDORLA 200 KG FUSTI</t>
  </si>
  <si>
    <t>UNIGRA S.R.L.</t>
  </si>
  <si>
    <t>48017 CONSELICE RA</t>
  </si>
  <si>
    <t>4300399501</t>
  </si>
  <si>
    <t>PLM2086/PP1</t>
  </si>
  <si>
    <t>M5704LMF/PP1</t>
  </si>
  <si>
    <t>PASTA LATTE DI MANDORLA</t>
  </si>
  <si>
    <t>GRPAN40846/G21</t>
  </si>
  <si>
    <t>ANN00153/G21</t>
  </si>
  <si>
    <t>CHOPPED HAZELNUT SUGAR COATED</t>
  </si>
  <si>
    <t>MPPARTS704/P11</t>
  </si>
  <si>
    <t>66685</t>
  </si>
  <si>
    <t>PASTA DI ARACHIDI TOSTATE SALATE</t>
  </si>
  <si>
    <t>ARACHIDI</t>
  </si>
  <si>
    <t>25001705 OC</t>
  </si>
  <si>
    <t>PMPT341/P11</t>
  </si>
  <si>
    <t>M341/P11</t>
  </si>
  <si>
    <t>PASTA MANDORLA PRIMA BARI</t>
  </si>
  <si>
    <t>25001706 OC</t>
  </si>
  <si>
    <t>PMPT338/P21</t>
  </si>
  <si>
    <t>M338B/P21</t>
  </si>
  <si>
    <t>PASTA MANDORLA MEDITERRANEO CHIARA</t>
  </si>
  <si>
    <t>25001711 OC</t>
  </si>
  <si>
    <t>UNILEVER EUROPE B.V.</t>
  </si>
  <si>
    <t>GRPAP41068/G21</t>
  </si>
  <si>
    <t>68832228 /G21</t>
  </si>
  <si>
    <t>SUGARED PISTACHIO GRAIN 6-8 MM GROM 050082</t>
  </si>
  <si>
    <t>PI PLANT MAPPANO WAREH</t>
  </si>
  <si>
    <t>MAPPANO 10079 (TO)</t>
  </si>
  <si>
    <t>4519042072</t>
  </si>
  <si>
    <t>68832227/G21</t>
  </si>
  <si>
    <t>SUGARED HAZELNUT GRAIN 4-6 MM GROM 050068</t>
  </si>
  <si>
    <t>S.I.P.A. SPA</t>
  </si>
  <si>
    <t>032907/G21</t>
  </si>
  <si>
    <t>GRANELLA DI PISTACCHIO</t>
  </si>
  <si>
    <t>20098 SAN GIULIANO MIL</t>
  </si>
  <si>
    <t>F2513047</t>
  </si>
  <si>
    <t>F2513048</t>
  </si>
  <si>
    <t>055503/P11</t>
  </si>
  <si>
    <t>PASTA PISTACCHIO PURA ESTERA S</t>
  </si>
  <si>
    <t>F2513126</t>
  </si>
  <si>
    <t>802/0</t>
  </si>
  <si>
    <t>813/0</t>
  </si>
  <si>
    <t>814/0</t>
  </si>
  <si>
    <t>806/0</t>
  </si>
  <si>
    <t>5</t>
  </si>
  <si>
    <t>811/0</t>
  </si>
  <si>
    <t>804/0</t>
  </si>
  <si>
    <t>805/0</t>
  </si>
  <si>
    <t>812/0</t>
  </si>
  <si>
    <t>808/0</t>
  </si>
  <si>
    <t>809/0</t>
  </si>
  <si>
    <t>803/0</t>
  </si>
  <si>
    <t>807/0</t>
  </si>
  <si>
    <t>810/0</t>
  </si>
  <si>
    <t>Evaso parzialmente</t>
  </si>
  <si>
    <t>MPGR075/G23</t>
  </si>
  <si>
    <t>GRANELLA DI PISTACCHIO SL</t>
  </si>
  <si>
    <t>X LOGISTIC</t>
  </si>
  <si>
    <t>37030 LAVAGNO (VR)</t>
  </si>
  <si>
    <t>25OF026395-1</t>
  </si>
  <si>
    <t>GRPSTS51125/G23</t>
  </si>
  <si>
    <t>MPGR232/G23</t>
  </si>
  <si>
    <t>GRANELLA DI PISTACCHI MPGR232 CAL 2/5mm</t>
  </si>
  <si>
    <t>GRPM50116/GP23</t>
  </si>
  <si>
    <t>MPGR276/GP23</t>
  </si>
  <si>
    <t>GRANELLA DI MANDORLA PRALINATA SALATA 1-6 MM</t>
  </si>
  <si>
    <t>MANDORLE SGUCIATE</t>
  </si>
  <si>
    <t>GRPP50116/G23</t>
  </si>
  <si>
    <t>MPGR284/G23</t>
  </si>
  <si>
    <t>GRANELLA DI PISTACCHIO PRALINATA SALATA 1-6 MM</t>
  </si>
  <si>
    <t>25OF026267-1</t>
  </si>
  <si>
    <t>PPM3773/PP035</t>
  </si>
  <si>
    <t>PF103PCL/PP035</t>
  </si>
  <si>
    <t>PP035</t>
  </si>
  <si>
    <t>FRANCIACORTA CREME S.P.A.</t>
  </si>
  <si>
    <t>01913/ P11</t>
  </si>
  <si>
    <t>PASTA PISTACCHIO MEDITERRANEA</t>
  </si>
  <si>
    <t>DISTILLERIE FRANCIACOR</t>
  </si>
  <si>
    <t>25064 GUSSAGO BS</t>
  </si>
  <si>
    <t>146558</t>
  </si>
  <si>
    <t>SLMNCT40/IBC1000</t>
  </si>
  <si>
    <t>11005070/IBC1000</t>
  </si>
  <si>
    <t>LEMON JUICE CONCENTRATED CLOUDY 40° BRIX</t>
  </si>
  <si>
    <t>LIMONE CONC. TORBIDO</t>
  </si>
  <si>
    <t>25019906 OP</t>
  </si>
  <si>
    <t>25019904 OP</t>
  </si>
  <si>
    <t>SARBCT63/F250</t>
  </si>
  <si>
    <t>500042201/F250</t>
  </si>
  <si>
    <t>SUCCO DI ARANCIA CONCENTRATO TORBIDO 63° BRIX</t>
  </si>
  <si>
    <t>ARANCIA CONC. TORBIDO</t>
  </si>
  <si>
    <t>AQ2511028</t>
  </si>
  <si>
    <t>SARBCT63/SP005</t>
  </si>
  <si>
    <t>500042201/SP05</t>
  </si>
  <si>
    <t>SUCCO DI ARANCIA CONCENTRATO TORBIDO 63 °BX</t>
  </si>
  <si>
    <t>SN SOPROGLACES</t>
  </si>
  <si>
    <t>MPPNSTD900/P11</t>
  </si>
  <si>
    <t>B0550/P11</t>
  </si>
  <si>
    <t>DARK ROASTED HAZELNUT PASTE</t>
  </si>
  <si>
    <t>GEXPA / SOGEDIAL</t>
  </si>
  <si>
    <t>76600 LE HAVRE - FRANC</t>
  </si>
  <si>
    <t>11211</t>
  </si>
  <si>
    <t>EDPGD710/P11</t>
  </si>
  <si>
    <t>SWEET GIANDUIOTTO PASTE</t>
  </si>
  <si>
    <t>11212</t>
  </si>
  <si>
    <t>LINDT &amp; SPRÜNGLI S.p.A.</t>
  </si>
  <si>
    <t>LINDT &amp; SPRÜNGLI S.p.A</t>
  </si>
  <si>
    <t>PPS1391(NEW)/P17</t>
  </si>
  <si>
    <t>870026/P17</t>
  </si>
  <si>
    <t>PAST INS C PIST SICILIA</t>
  </si>
  <si>
    <t>20013 MAGENTA (MI)</t>
  </si>
  <si>
    <t>4500242896</t>
  </si>
  <si>
    <t>25001710 OC</t>
  </si>
  <si>
    <t>PPM4/P11</t>
  </si>
  <si>
    <t>1830054/P11</t>
  </si>
  <si>
    <t>PASTA PISTACCHIO SPAGNA</t>
  </si>
  <si>
    <t>815/OP</t>
  </si>
  <si>
    <t>817/0</t>
  </si>
  <si>
    <t>818/0</t>
  </si>
  <si>
    <t>819/0</t>
  </si>
  <si>
    <t>28.3333333333333</t>
  </si>
  <si>
    <t>820/0</t>
  </si>
  <si>
    <t>821/0</t>
  </si>
  <si>
    <t>822/0</t>
  </si>
  <si>
    <t>825/0</t>
  </si>
  <si>
    <t>828/0</t>
  </si>
  <si>
    <t>829/0</t>
  </si>
  <si>
    <t>823/0</t>
  </si>
  <si>
    <t>816/0</t>
  </si>
  <si>
    <t>826/0</t>
  </si>
  <si>
    <t>570/800</t>
  </si>
  <si>
    <t>827/0</t>
  </si>
  <si>
    <t>830/0</t>
  </si>
  <si>
    <t>571/800</t>
  </si>
  <si>
    <t>110</t>
  </si>
  <si>
    <t>824/0</t>
  </si>
  <si>
    <t>815/0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</si>
</sst>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_-* #,##0.0_-;\-* #,##0.0_-;_-* &quot;-&quot;??_-;_-@_-"/>
    <numFmt numFmtId="168" formatCode="dd/mm/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2" fillId="0" borderId="0"/>
    <xf numFmtId="164" fontId="1" fillId="0" borderId="0" applyFont="0" applyFill="0" applyBorder="0" applyAlignment="0" applyProtection="0"/>
    <xf numFmtId="0" fontId="23" fillId="0" borderId="0" applyFill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17" fillId="37" borderId="0" xfId="0" applyFont="1" applyFill="1" applyAlignment="1">
      <alignment horizontal="left"/>
    </xf>
    <xf numFmtId="0" fontId="17" fillId="37" borderId="0" xfId="0" applyFont="1" applyFill="1"/>
    <xf numFmtId="0" fontId="0" fillId="36" borderId="0" xfId="0" applyFill="1"/>
    <xf numFmtId="0" fontId="0" fillId="35" borderId="0" xfId="0" applyFill="1"/>
    <xf numFmtId="0" fontId="18" fillId="0" borderId="0" xfId="42" applyAlignment="1">
      <alignment wrapText="1"/>
    </xf>
    <xf numFmtId="0" fontId="20" fillId="0" borderId="13" xfId="42" applyFont="1" applyBorder="1" applyAlignment="1">
      <alignment horizontal="center" vertical="center" wrapText="1"/>
    </xf>
    <xf numFmtId="0" fontId="19" fillId="0" borderId="10" xfId="42" applyFont="1" applyBorder="1" applyAlignment="1">
      <alignment horizontal="center" vertical="center" wrapText="1"/>
    </xf>
    <xf numFmtId="0" fontId="20" fillId="0" borderId="11" xfId="42" applyFont="1" applyBorder="1" applyAlignment="1">
      <alignment horizontal="center" vertical="center" wrapText="1"/>
    </xf>
    <xf numFmtId="0" fontId="21" fillId="0" borderId="12" xfId="42" applyFont="1" applyBorder="1" applyAlignment="1">
      <alignment vertical="center" wrapText="1"/>
    </xf>
    <xf numFmtId="0" fontId="21" fillId="0" borderId="12" xfId="42" applyFont="1" applyBorder="1" applyAlignment="1">
      <alignment horizontal="center" vertical="center" wrapText="1"/>
    </xf>
    <xf numFmtId="0" fontId="18" fillId="0" borderId="0" xfId="42"/>
    <xf numFmtId="0" fontId="18" fillId="0" borderId="0" xfId="42" applyAlignment="1">
      <alignment horizontal="right" vertical="center" wrapText="1"/>
    </xf>
    <xf numFmtId="0" fontId="18" fillId="0" borderId="0" xfId="42" applyAlignment="1">
      <alignment horizontal="center" vertical="center" wrapText="1"/>
    </xf>
    <xf numFmtId="0" fontId="20" fillId="0" borderId="0" xfId="42" applyFont="1" applyAlignment="1">
      <alignment horizontal="center" vertical="center" wrapText="1"/>
    </xf>
    <xf numFmtId="0" fontId="18" fillId="0" borderId="0" xfId="42" applyAlignment="1">
      <alignment horizontal="center" wrapText="1"/>
    </xf>
    <xf numFmtId="0" fontId="21" fillId="0" borderId="14" xfId="42" applyFont="1" applyBorder="1" applyAlignment="1">
      <alignment vertical="center" wrapText="1"/>
    </xf>
    <xf numFmtId="0" fontId="21" fillId="0" borderId="0" xfId="42" applyFont="1" applyAlignment="1">
      <alignment vertical="center" wrapText="1"/>
    </xf>
    <xf numFmtId="165" fontId="18" fillId="0" borderId="11" xfId="42" applyNumberFormat="1" applyBorder="1" applyAlignment="1">
      <alignment horizontal="right" vertical="center"/>
    </xf>
    <xf numFmtId="0" fontId="18" fillId="0" borderId="11" xfId="42" applyBorder="1" applyAlignment="1">
      <alignment horizontal="right" vertical="center"/>
    </xf>
    <xf numFmtId="0" fontId="20" fillId="0" borderId="11" xfId="42" applyFont="1" applyBorder="1" applyAlignment="1">
      <alignment horizontal="center" vertical="center"/>
    </xf>
    <xf numFmtId="165" fontId="18" fillId="0" borderId="11" xfId="42" applyNumberFormat="1" applyBorder="1" applyAlignment="1">
      <alignment horizontal="center" wrapText="1"/>
    </xf>
    <xf numFmtId="0" fontId="19" fillId="0" borderId="10" xfId="42" applyFont="1" applyBorder="1" applyAlignment="1">
      <alignment wrapText="1"/>
    </xf>
    <xf numFmtId="2" fontId="20" fillId="0" borderId="11" xfId="43" applyNumberFormat="1" applyFont="1" applyBorder="1" applyAlignment="1" applyProtection="1">
      <alignment horizontal="center" vertical="center"/>
      <protection hidden="1"/>
    </xf>
    <xf numFmtId="0" fontId="0" fillId="0" borderId="11" xfId="45" applyFont="1" applyFill="1" applyBorder="1" applyAlignment="1">
      <alignment horizontal="center" vertical="center" wrapText="1"/>
    </xf>
    <xf numFmtId="0" fontId="0" fillId="0" borderId="11" xfId="43" applyFont="1" applyBorder="1" applyAlignment="1" applyProtection="1">
      <alignment horizontal="right" vertical="center"/>
      <protection hidden="1"/>
    </xf>
    <xf numFmtId="165" fontId="18" fillId="0" borderId="11" xfId="42" applyNumberFormat="1" applyBorder="1" applyAlignment="1">
      <alignment horizontal="right" vertical="center" wrapText="1"/>
    </xf>
    <xf numFmtId="165" fontId="18" fillId="0" borderId="11" xfId="42" applyNumberFormat="1" applyBorder="1" applyAlignment="1">
      <alignment horizontal="center" vertical="center" wrapText="1"/>
    </xf>
    <xf numFmtId="0" fontId="18" fillId="0" borderId="11" xfId="42" applyBorder="1" applyAlignment="1">
      <alignment horizontal="center" wrapText="1"/>
    </xf>
    <xf numFmtId="0" fontId="0" fillId="0" borderId="13" xfId="43" applyFont="1" applyBorder="1" applyAlignment="1" applyProtection="1">
      <alignment horizontal="center" vertical="center"/>
      <protection hidden="1"/>
    </xf>
    <xf numFmtId="0" fontId="18" fillId="0" borderId="11" xfId="42" applyBorder="1" applyAlignment="1">
      <alignment horizontal="right" vertical="center" wrapText="1"/>
    </xf>
    <xf numFmtId="0" fontId="18" fillId="0" borderId="13" xfId="42" applyBorder="1" applyAlignment="1">
      <alignment horizontal="center" vertical="center" wrapText="1"/>
    </xf>
    <xf numFmtId="0" fontId="18" fillId="0" borderId="11" xfId="42" applyBorder="1" applyAlignment="1">
      <alignment horizontal="center" vertical="center" wrapText="1"/>
    </xf>
    <xf numFmtId="0" fontId="19" fillId="0" borderId="10" xfId="42" applyFont="1" applyBorder="1" applyAlignment="1">
      <alignment horizontal="center" wrapText="1"/>
    </xf>
    <xf numFmtId="165" fontId="0" fillId="0" borderId="11" xfId="47" applyNumberFormat="1" applyFont="1" applyFill="1" applyBorder="1" applyAlignment="1" applyProtection="1">
      <alignment horizontal="right" vertical="center"/>
      <protection hidden="1"/>
    </xf>
    <xf numFmtId="0" fontId="18" fillId="0" borderId="11" xfId="42" applyBorder="1" applyAlignment="1">
      <alignment horizontal="center" vertical="center"/>
    </xf>
    <xf numFmtId="0" fontId="21" fillId="33" borderId="12" xfId="42" applyFont="1" applyFill="1" applyBorder="1" applyAlignment="1">
      <alignment vertical="center" wrapText="1"/>
    </xf>
    <xf numFmtId="0" fontId="21" fillId="33" borderId="12" xfId="42" applyFont="1" applyFill="1" applyBorder="1" applyAlignment="1">
      <alignment vertical="center"/>
    </xf>
    <xf numFmtId="165" fontId="21" fillId="33" borderId="12" xfId="46" applyNumberFormat="1" applyFont="1" applyFill="1" applyBorder="1" applyAlignment="1" applyProtection="1">
      <alignment vertical="center"/>
      <protection hidden="1"/>
    </xf>
    <xf numFmtId="165" fontId="21" fillId="33" borderId="12" xfId="47" applyNumberFormat="1" applyFont="1" applyFill="1" applyBorder="1" applyAlignment="1" applyProtection="1">
      <alignment vertical="center"/>
      <protection hidden="1"/>
    </xf>
    <xf numFmtId="165" fontId="21" fillId="34" borderId="12" xfId="47" applyNumberFormat="1" applyFont="1" applyFill="1" applyBorder="1" applyAlignment="1" applyProtection="1">
      <alignment vertical="center"/>
      <protection hidden="1"/>
    </xf>
    <xf numFmtId="0" fontId="20" fillId="0" borderId="10" xfId="42" applyFont="1" applyBorder="1" applyAlignment="1">
      <alignment wrapText="1"/>
    </xf>
    <xf numFmtId="167" fontId="18" fillId="0" borderId="11" xfId="42" applyNumberFormat="1" applyBorder="1" applyAlignment="1">
      <alignment horizontal="center" vertical="center" wrapText="1"/>
    </xf>
    <xf numFmtId="165" fontId="18" fillId="0" borderId="11" xfId="42" applyNumberFormat="1" applyBorder="1" applyAlignment="1">
      <alignment horizontal="center" vertical="center"/>
    </xf>
    <xf numFmtId="165" fontId="18" fillId="0" borderId="11" xfId="42" applyNumberFormat="1" applyBorder="1" applyAlignment="1">
      <alignment horizontal="center"/>
    </xf>
    <xf numFmtId="0" fontId="0" fillId="0" borderId="11" xfId="0" applyBorder="1"/>
    <xf numFmtId="166" fontId="18" fillId="0" borderId="11" xfId="42" applyNumberFormat="1" applyBorder="1" applyAlignment="1">
      <alignment horizontal="right" vertical="center" wrapText="1"/>
    </xf>
    <xf numFmtId="0" fontId="19" fillId="0" borderId="10" xfId="42" applyFont="1" applyBorder="1"/>
    <xf numFmtId="0" fontId="18" fillId="0" borderId="13" xfId="42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0" fontId="13" fillId="38" borderId="0" xfId="0" applyFont="1" applyFill="1" applyAlignment="1">
      <alignment horizontal="left" vertical="center"/>
    </xf>
    <xf numFmtId="0" fontId="13" fillId="38" borderId="0" xfId="0" applyFont="1" applyFill="1" applyAlignment="1">
      <alignment horizontal="left"/>
    </xf>
    <xf numFmtId="0" fontId="13" fillId="38" borderId="0" xfId="39" applyFont="1" applyFill="1" applyAlignment="1">
      <alignment horizontal="left"/>
    </xf>
    <xf numFmtId="49" fontId="13" fillId="38" borderId="0" xfId="0" applyNumberFormat="1" applyFont="1" applyFill="1" applyAlignment="1">
      <alignment horizontal="left" vertical="center"/>
    </xf>
    <xf numFmtId="1" fontId="13" fillId="38" borderId="0" xfId="0" applyNumberFormat="1" applyFont="1" applyFill="1" applyAlignment="1">
      <alignment horizontal="left" vertical="center"/>
    </xf>
    <xf numFmtId="1" fontId="13" fillId="38" borderId="0" xfId="0" applyNumberFormat="1" applyFont="1" applyFill="1" applyAlignment="1">
      <alignment horizontal="left"/>
    </xf>
    <xf numFmtId="49" fontId="13" fillId="38" borderId="0" xfId="39" applyNumberFormat="1" applyFont="1" applyFill="1" applyAlignment="1">
      <alignment horizontal="left"/>
    </xf>
    <xf numFmtId="1" fontId="13" fillId="38" borderId="0" xfId="39" applyNumberFormat="1" applyFont="1" applyFill="1" applyAlignment="1">
      <alignment horizontal="left"/>
    </xf>
    <xf numFmtId="49" fontId="13" fillId="38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39" borderId="0" xfId="0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30" borderId="0" xfId="39" applyAlignment="1">
      <alignment horizontal="left"/>
    </xf>
    <xf numFmtId="0" fontId="6" fillId="2" borderId="0" xfId="6" applyAlignment="1">
      <alignment horizontal="left" vertical="center"/>
    </xf>
    <xf numFmtId="0" fontId="6" fillId="2" borderId="0" xfId="6" applyAlignment="1">
      <alignment horizontal="left" vertical="center" wrapText="1"/>
    </xf>
    <xf numFmtId="0" fontId="0" fillId="40" borderId="0" xfId="0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1" fillId="30" borderId="0" xfId="39" applyNumberFormat="1" applyAlignment="1">
      <alignment horizontal="left"/>
    </xf>
    <xf numFmtId="1" fontId="1" fillId="30" borderId="0" xfId="39" applyNumberFormat="1" applyAlignment="1">
      <alignment horizontal="left"/>
    </xf>
    <xf numFmtId="49" fontId="6" fillId="2" borderId="0" xfId="6" applyNumberFormat="1" applyAlignment="1">
      <alignment horizontal="left" vertical="center"/>
    </xf>
    <xf numFmtId="49" fontId="6" fillId="2" borderId="0" xfId="6" applyNumberFormat="1" applyAlignment="1">
      <alignment horizontal="left" vertical="center" wrapText="1"/>
    </xf>
    <xf numFmtId="1" fontId="6" fillId="2" borderId="0" xfId="6" applyNumberFormat="1" applyAlignment="1">
      <alignment horizontal="left" vertical="center"/>
    </xf>
    <xf numFmtId="49" fontId="0" fillId="40" borderId="0" xfId="0" applyNumberFormat="1" applyFill="1" applyAlignment="1">
      <alignment vertical="center"/>
    </xf>
    <xf numFmtId="168" fontId="13" fillId="38" borderId="0" xfId="0" applyNumberFormat="1" applyFont="1" applyFill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1" fontId="0" fillId="39" borderId="0" xfId="0" applyNumberFormat="1" applyFill="1" applyAlignment="1">
      <alignment horizontal="left" vertical="center"/>
    </xf>
    <xf numFmtId="168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8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Migliaia 2" xfId="44" xr:uid="{00000000-0005-0000-0000-00001C000000}"/>
    <cellStyle name="Migliaia 2 2" xfId="47" xr:uid="{528F7679-8B69-442A-9D12-7DB5821655F0}"/>
    <cellStyle name="Neutrale" xfId="8" builtinId="28" customBuiltin="1"/>
    <cellStyle name="Normale" xfId="0" builtinId="0"/>
    <cellStyle name="Normale 2" xfId="42" xr:uid="{00000000-0005-0000-0000-00001F000000}"/>
    <cellStyle name="Normale 7" xfId="45" xr:uid="{00000000-0005-0000-0000-000020000000}"/>
    <cellStyle name="Normale 9" xfId="43" xr:uid="{00000000-0005-0000-0000-000021000000}"/>
    <cellStyle name="Nota" xfId="15" builtinId="10" customBuiltin="1"/>
    <cellStyle name="Output" xfId="10" builtinId="21" customBuiltin="1"/>
    <cellStyle name="Percentuale 2" xfId="46" xr:uid="{00000000-0005-0000-0000-000024000000}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34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ristina/Desktop/3009%20GEST/PER%20BUDGET%202023-2024/COSTI%20DEL%20VENDUTO/DB.%20Gest2023%20-%20(Rev.%201247-%20DEF.C.S.)%2002.11.2023-CHIUSURA%20VENDIT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PORTAFOGLIO AC"/>
      <sheetName val="D.B Acquisti"/>
      <sheetName val="Imballi"/>
      <sheetName val="COSTI F&amp;V"/>
      <sheetName val="DB Vendite + Costi Gen."/>
      <sheetName val="DB. PORTAFOGLIO VE2"/>
      <sheetName val="DB. Fornitori 2021"/>
      <sheetName val="DB. Paesi - Settori"/>
      <sheetName val="DB. Clienti 2022"/>
      <sheetName val="Pivot Acquisti 2020"/>
      <sheetName val="Pivot Fab. Acquisti"/>
      <sheetName val="DB. Logistica"/>
      <sheetName val="PORTAFOGLIO AC §"/>
      <sheetName val="Pivot Acquisti 2023."/>
      <sheetName val="archivio DB. PORTAFOGLIO VE."/>
      <sheetName val="Elenchi"/>
      <sheetName val="Foglio--"/>
      <sheetName val="Listino Prezi 2021"/>
      <sheetName val="INSERIMENTO DDT ACQUISTO §"/>
      <sheetName val="Dist. Base"/>
      <sheetName val="Caricamento DB. Port. Vend. §"/>
      <sheetName val="DB. PORTAFOGLIO VE. §"/>
      <sheetName val="PORTAFOGLIO VEN §"/>
      <sheetName val="PIPELINE VENDITE 20-21-22 §"/>
      <sheetName val="INSERIMENTO DDT VENDITE 2023"/>
      <sheetName val="Pivot. Pipeline Vendite 2023"/>
      <sheetName val="Pivot. Analisi Comp. Ve. Q.Tà"/>
      <sheetName val="DB Analisi Comparata Vendite §"/>
      <sheetName val="Pivot. Vendite Mese -23 §"/>
      <sheetName val="Pivot. Vendite 2021 §"/>
      <sheetName val="Pivot. Vendite 2020 §"/>
      <sheetName val="Pivot. Vendite 2019 §"/>
      <sheetName val="Report Commerciale §"/>
      <sheetName val="Report Vendite"/>
      <sheetName val="Listino Prezzi 2023"/>
      <sheetName val="Trattative In Corso 2022 §"/>
      <sheetName val="Pivot Offerte"/>
      <sheetName val="Controllo Vendite x F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A4" t="str">
            <v>Cod.</v>
          </cell>
        </row>
        <row r="5">
          <cell r="A5" t="str">
            <v>ARAARN1</v>
          </cell>
        </row>
        <row r="6">
          <cell r="A6" t="str">
            <v>ARLAVN1</v>
          </cell>
        </row>
        <row r="7">
          <cell r="A7" t="str">
            <v>ARLM1</v>
          </cell>
        </row>
        <row r="8">
          <cell r="A8" t="str">
            <v>ARMA1</v>
          </cell>
        </row>
        <row r="9">
          <cell r="A9" t="str">
            <v>ARMAN2</v>
          </cell>
        </row>
        <row r="10">
          <cell r="A10" t="str">
            <v>ARMD1</v>
          </cell>
        </row>
        <row r="11">
          <cell r="A11" t="str">
            <v>ARMOSP</v>
          </cell>
        </row>
        <row r="12">
          <cell r="A12" t="str">
            <v>ARMT1</v>
          </cell>
        </row>
        <row r="13">
          <cell r="A13" t="str">
            <v>ARMT4926</v>
          </cell>
        </row>
        <row r="14">
          <cell r="A14" t="str">
            <v>ARNM4541</v>
          </cell>
        </row>
        <row r="15">
          <cell r="A15" t="str">
            <v>ARNPIS001</v>
          </cell>
        </row>
        <row r="16">
          <cell r="A16" t="str">
            <v>ARPAN001</v>
          </cell>
        </row>
        <row r="17">
          <cell r="A17" t="str">
            <v>ARPIS1</v>
          </cell>
        </row>
        <row r="18">
          <cell r="A18" t="str">
            <v>ARPIS2</v>
          </cell>
        </row>
        <row r="19">
          <cell r="A19" t="str">
            <v>ARPIS3</v>
          </cell>
        </row>
        <row r="20">
          <cell r="A20" t="str">
            <v>ARTORN1</v>
          </cell>
        </row>
        <row r="21">
          <cell r="A21" t="str">
            <v>BPCRMAPV26</v>
          </cell>
        </row>
        <row r="22">
          <cell r="A22" t="str">
            <v>C01011</v>
          </cell>
        </row>
        <row r="23">
          <cell r="A23" t="str">
            <v>CCARAN3X3</v>
          </cell>
        </row>
        <row r="24">
          <cell r="A24" t="str">
            <v>CCARAN4X4</v>
          </cell>
        </row>
        <row r="25">
          <cell r="A25" t="str">
            <v>CCARAN6X6</v>
          </cell>
        </row>
        <row r="26">
          <cell r="A26" t="str">
            <v>CCARAN9X9</v>
          </cell>
        </row>
        <row r="27">
          <cell r="A27" t="str">
            <v>CCCED4X4</v>
          </cell>
        </row>
        <row r="28">
          <cell r="A28" t="str">
            <v>CCLIM4X4</v>
          </cell>
        </row>
        <row r="29">
          <cell r="A29" t="str">
            <v>CCLIM6X6</v>
          </cell>
        </row>
        <row r="30">
          <cell r="A30" t="str">
            <v>CCLIM9X9</v>
          </cell>
        </row>
        <row r="31">
          <cell r="A31" t="str">
            <v>CCLIMARCED6X6</v>
          </cell>
        </row>
        <row r="32">
          <cell r="A32" t="str">
            <v>CFSD303</v>
          </cell>
        </row>
        <row r="33">
          <cell r="A33" t="str">
            <v>CFSD310</v>
          </cell>
        </row>
        <row r="34">
          <cell r="A34" t="str">
            <v>CFSD311</v>
          </cell>
        </row>
        <row r="35">
          <cell r="A35" t="str">
            <v>CFSD312</v>
          </cell>
        </row>
        <row r="36">
          <cell r="A36" t="str">
            <v>CFSDUTZ4180</v>
          </cell>
        </row>
        <row r="37">
          <cell r="A37" t="str">
            <v>CMCNGARB</v>
          </cell>
        </row>
        <row r="38">
          <cell r="A38" t="str">
            <v>COPC300</v>
          </cell>
        </row>
        <row r="39">
          <cell r="A39" t="str">
            <v>COPCC400</v>
          </cell>
        </row>
        <row r="40">
          <cell r="A40" t="str">
            <v>COPG700</v>
          </cell>
        </row>
        <row r="41">
          <cell r="A41" t="str">
            <v>COPG701</v>
          </cell>
        </row>
        <row r="42">
          <cell r="A42" t="str">
            <v>COPG702</v>
          </cell>
        </row>
        <row r="43">
          <cell r="A43" t="str">
            <v>COPG703</v>
          </cell>
        </row>
        <row r="44">
          <cell r="A44" t="str">
            <v>COPG720</v>
          </cell>
        </row>
        <row r="45">
          <cell r="A45" t="str">
            <v>COPM500</v>
          </cell>
        </row>
        <row r="46">
          <cell r="A46" t="str">
            <v>COPM501</v>
          </cell>
        </row>
        <row r="47">
          <cell r="A47" t="str">
            <v>COPM502</v>
          </cell>
        </row>
        <row r="48">
          <cell r="A48" t="str">
            <v>COPM520</v>
          </cell>
        </row>
        <row r="49">
          <cell r="A49" t="str">
            <v>COPN601-4</v>
          </cell>
        </row>
        <row r="50">
          <cell r="A50" t="str">
            <v>COPP102</v>
          </cell>
        </row>
        <row r="51">
          <cell r="A51" t="str">
            <v>COPP103</v>
          </cell>
        </row>
        <row r="52">
          <cell r="A52" t="str">
            <v>COPP104</v>
          </cell>
        </row>
        <row r="53">
          <cell r="A53" t="str">
            <v>COPP105-3</v>
          </cell>
        </row>
        <row r="54">
          <cell r="A54" t="str">
            <v>COPP1053141</v>
          </cell>
        </row>
        <row r="55">
          <cell r="A55" t="str">
            <v>COPP105FDA</v>
          </cell>
        </row>
        <row r="56">
          <cell r="A56" t="str">
            <v>COPP120</v>
          </cell>
        </row>
        <row r="57">
          <cell r="A57" t="str">
            <v>COPSC300</v>
          </cell>
        </row>
        <row r="58">
          <cell r="A58" t="str">
            <v>COPSG703</v>
          </cell>
        </row>
        <row r="59">
          <cell r="A59" t="str">
            <v>COPSN601</v>
          </cell>
        </row>
        <row r="60">
          <cell r="A60" t="str">
            <v>CRMAGV30</v>
          </cell>
        </row>
        <row r="61">
          <cell r="A61" t="str">
            <v>CRMAPV26FDA</v>
          </cell>
        </row>
        <row r="62">
          <cell r="A62" t="str">
            <v>CTG100A</v>
          </cell>
        </row>
        <row r="63">
          <cell r="A63" t="str">
            <v>DB.50013803</v>
          </cell>
        </row>
        <row r="64">
          <cell r="A64" t="str">
            <v>DB.56138020</v>
          </cell>
        </row>
        <row r="65">
          <cell r="A65" t="str">
            <v>DB.5915075</v>
          </cell>
        </row>
        <row r="66">
          <cell r="A66" t="str">
            <v>DB.5915177</v>
          </cell>
        </row>
        <row r="67">
          <cell r="A67" t="str">
            <v>DB.5915188</v>
          </cell>
        </row>
        <row r="68">
          <cell r="A68" t="str">
            <v>DB.5915467</v>
          </cell>
        </row>
        <row r="69">
          <cell r="A69" t="str">
            <v>DB.5915649</v>
          </cell>
        </row>
        <row r="70">
          <cell r="A70" t="str">
            <v>DB.5916133</v>
          </cell>
        </row>
        <row r="71">
          <cell r="A71" t="str">
            <v>DB.5916856</v>
          </cell>
        </row>
        <row r="72">
          <cell r="A72" t="str">
            <v>DB.5916976</v>
          </cell>
        </row>
        <row r="73">
          <cell r="A73" t="str">
            <v>DB.660001</v>
          </cell>
        </row>
        <row r="74">
          <cell r="A74" t="str">
            <v>DB.660002</v>
          </cell>
        </row>
        <row r="75">
          <cell r="A75" t="str">
            <v>DB.660007</v>
          </cell>
        </row>
        <row r="76">
          <cell r="A76" t="str">
            <v>DB.660011</v>
          </cell>
        </row>
        <row r="77">
          <cell r="A77" t="str">
            <v>DB.660013</v>
          </cell>
        </row>
        <row r="78">
          <cell r="A78" t="str">
            <v>DB.660022</v>
          </cell>
        </row>
        <row r="79">
          <cell r="A79" t="str">
            <v>DB.660025</v>
          </cell>
        </row>
        <row r="80">
          <cell r="A80" t="str">
            <v>DB.660031</v>
          </cell>
        </row>
        <row r="81">
          <cell r="A81" t="str">
            <v>DB.7315801</v>
          </cell>
        </row>
        <row r="82">
          <cell r="A82" t="str">
            <v>DB.7315803</v>
          </cell>
        </row>
        <row r="83">
          <cell r="A83" t="str">
            <v>DB.7315805</v>
          </cell>
        </row>
        <row r="84">
          <cell r="A84" t="str">
            <v>DB.7315809</v>
          </cell>
        </row>
        <row r="85">
          <cell r="A85" t="str">
            <v>DB.MP571</v>
          </cell>
        </row>
        <row r="86">
          <cell r="A86" t="str">
            <v>EDCOPCC400</v>
          </cell>
        </row>
        <row r="87">
          <cell r="A87" t="str">
            <v>EDCOPG700</v>
          </cell>
        </row>
        <row r="88">
          <cell r="A88" t="str">
            <v>EDCOPG720</v>
          </cell>
        </row>
        <row r="89">
          <cell r="A89" t="str">
            <v>EDCOPM501</v>
          </cell>
        </row>
        <row r="90">
          <cell r="A90" t="str">
            <v>EDCOPM520</v>
          </cell>
        </row>
        <row r="91">
          <cell r="A91" t="str">
            <v>EDCOPP103</v>
          </cell>
        </row>
        <row r="92">
          <cell r="A92" t="str">
            <v>EDCOPP120</v>
          </cell>
        </row>
        <row r="93">
          <cell r="A93" t="str">
            <v>EDPANT706</v>
          </cell>
        </row>
        <row r="94">
          <cell r="A94" t="str">
            <v>EDPC200</v>
          </cell>
        </row>
        <row r="95">
          <cell r="A95" t="str">
            <v>EDPGA700</v>
          </cell>
        </row>
        <row r="96">
          <cell r="A96" t="str">
            <v>EDPGD710</v>
          </cell>
        </row>
        <row r="97">
          <cell r="A97" t="str">
            <v>EDPIPIN700</v>
          </cell>
        </row>
        <row r="98">
          <cell r="A98" t="str">
            <v>EDPLM502</v>
          </cell>
        </row>
        <row r="99">
          <cell r="A99" t="str">
            <v>EDPMPT400</v>
          </cell>
        </row>
        <row r="100">
          <cell r="A100" t="str">
            <v>EDPMPT402</v>
          </cell>
        </row>
        <row r="101">
          <cell r="A101" t="str">
            <v>EDPN300</v>
          </cell>
        </row>
        <row r="102">
          <cell r="A102" t="str">
            <v>EDPN301</v>
          </cell>
        </row>
        <row r="103">
          <cell r="A103" t="str">
            <v>EDPP100</v>
          </cell>
        </row>
        <row r="104">
          <cell r="A104" t="str">
            <v>EDPP102</v>
          </cell>
        </row>
        <row r="105">
          <cell r="A105" t="str">
            <v>EDPP103</v>
          </cell>
        </row>
        <row r="106">
          <cell r="A106" t="str">
            <v>EDPP104</v>
          </cell>
        </row>
        <row r="107">
          <cell r="A107" t="str">
            <v>EDPPM50</v>
          </cell>
        </row>
        <row r="108">
          <cell r="A108" t="str">
            <v>EDPPPRFDA</v>
          </cell>
        </row>
        <row r="109">
          <cell r="A109" t="str">
            <v>EDPSTMPTT</v>
          </cell>
        </row>
        <row r="110">
          <cell r="A110" t="str">
            <v>EDPSTNOCTS</v>
          </cell>
        </row>
        <row r="111">
          <cell r="A111" t="str">
            <v>EDPSTPSGS-3</v>
          </cell>
        </row>
        <row r="112">
          <cell r="A112" t="str">
            <v>EDPTRN1513</v>
          </cell>
        </row>
        <row r="113">
          <cell r="A113" t="str">
            <v>FCARAN</v>
          </cell>
        </row>
        <row r="114">
          <cell r="A114" t="str">
            <v>FCHSCH</v>
          </cell>
        </row>
        <row r="115">
          <cell r="A115" t="str">
            <v>FILAC6X6X60</v>
          </cell>
        </row>
        <row r="116">
          <cell r="A116" t="str">
            <v>FILAC6X6X60N</v>
          </cell>
        </row>
        <row r="117">
          <cell r="A117" t="str">
            <v>FILLC6X6X60</v>
          </cell>
        </row>
        <row r="118">
          <cell r="A118" t="str">
            <v>FRARMPD620</v>
          </cell>
        </row>
        <row r="119">
          <cell r="A119" t="str">
            <v>FRCOCCO001</v>
          </cell>
        </row>
        <row r="120">
          <cell r="A120" t="str">
            <v>FRMP601</v>
          </cell>
        </row>
        <row r="121">
          <cell r="A121" t="str">
            <v>FRMP603</v>
          </cell>
        </row>
        <row r="122">
          <cell r="A122" t="str">
            <v>FRMP619</v>
          </cell>
        </row>
        <row r="123">
          <cell r="A123" t="str">
            <v>FRMSG613</v>
          </cell>
        </row>
        <row r="124">
          <cell r="A124" t="str">
            <v>FRPST611</v>
          </cell>
        </row>
        <row r="125">
          <cell r="A125" t="str">
            <v>GCM3983</v>
          </cell>
        </row>
        <row r="126">
          <cell r="A126" t="str">
            <v>GRANT51525</v>
          </cell>
        </row>
        <row r="127">
          <cell r="A127" t="str">
            <v>GRMP50324B</v>
          </cell>
        </row>
        <row r="128">
          <cell r="A128" t="str">
            <v>GRMPT504</v>
          </cell>
        </row>
        <row r="129">
          <cell r="A129" t="str">
            <v>GRMPT506</v>
          </cell>
        </row>
        <row r="130">
          <cell r="A130" t="str">
            <v>GRMPT51825</v>
          </cell>
        </row>
        <row r="131">
          <cell r="A131" t="str">
            <v>GRMPT52125</v>
          </cell>
        </row>
        <row r="132">
          <cell r="A132" t="str">
            <v>GRMST508</v>
          </cell>
        </row>
        <row r="133">
          <cell r="A133" t="str">
            <v>GRMST50834</v>
          </cell>
        </row>
        <row r="134">
          <cell r="A134" t="str">
            <v>GRMST50838B</v>
          </cell>
        </row>
        <row r="135">
          <cell r="A135" t="str">
            <v>GRMST50868</v>
          </cell>
        </row>
        <row r="136">
          <cell r="A136" t="str">
            <v>GRMST509</v>
          </cell>
        </row>
        <row r="137">
          <cell r="A137" t="str">
            <v>GRMST510</v>
          </cell>
        </row>
        <row r="138">
          <cell r="A138" t="str">
            <v>GRNT51038B</v>
          </cell>
        </row>
        <row r="139">
          <cell r="A139" t="str">
            <v>GRPAM40916</v>
          </cell>
        </row>
        <row r="140">
          <cell r="A140" t="str">
            <v>GRPAM40924</v>
          </cell>
        </row>
        <row r="141">
          <cell r="A141" t="str">
            <v>GRPAM40935</v>
          </cell>
        </row>
        <row r="142">
          <cell r="A142" t="str">
            <v>GRPAM40946</v>
          </cell>
        </row>
        <row r="143">
          <cell r="A143" t="str">
            <v>GRPAM40956</v>
          </cell>
        </row>
        <row r="144">
          <cell r="A144" t="str">
            <v>GRPAM41416B</v>
          </cell>
        </row>
        <row r="145">
          <cell r="A145" t="str">
            <v>GRPAM41425</v>
          </cell>
        </row>
        <row r="146">
          <cell r="A146" t="str">
            <v>GRPAM41468</v>
          </cell>
        </row>
        <row r="147">
          <cell r="A147" t="str">
            <v>GRPAM41616</v>
          </cell>
        </row>
        <row r="148">
          <cell r="A148" t="str">
            <v>GRPAM41668</v>
          </cell>
        </row>
        <row r="149">
          <cell r="A149" t="str">
            <v>GRPAN40816</v>
          </cell>
        </row>
        <row r="150">
          <cell r="A150" t="str">
            <v>GRPAN40824</v>
          </cell>
        </row>
        <row r="151">
          <cell r="A151" t="str">
            <v>GRPAN40846</v>
          </cell>
        </row>
        <row r="152">
          <cell r="A152" t="str">
            <v>GRPAN40846B</v>
          </cell>
        </row>
        <row r="153">
          <cell r="A153" t="str">
            <v>GRPAN40868</v>
          </cell>
        </row>
        <row r="154">
          <cell r="A154" t="str">
            <v>GRPAP40716</v>
          </cell>
        </row>
        <row r="155">
          <cell r="A155" t="str">
            <v>GRPAP40724</v>
          </cell>
        </row>
        <row r="156">
          <cell r="A156" t="str">
            <v>GRPAP40746</v>
          </cell>
        </row>
        <row r="157">
          <cell r="A157" t="str">
            <v>GRPAP40768</v>
          </cell>
        </row>
        <row r="158">
          <cell r="A158" t="str">
            <v>GRPAP41024</v>
          </cell>
        </row>
        <row r="159">
          <cell r="A159" t="str">
            <v>GRPAP41026</v>
          </cell>
        </row>
        <row r="160">
          <cell r="A160" t="str">
            <v>GRPAP41068</v>
          </cell>
        </row>
        <row r="161">
          <cell r="A161" t="str">
            <v>GRPAP41746</v>
          </cell>
        </row>
        <row r="162">
          <cell r="A162" t="str">
            <v>GRPM401</v>
          </cell>
        </row>
        <row r="163">
          <cell r="A163" t="str">
            <v>GRPM414</v>
          </cell>
        </row>
        <row r="164">
          <cell r="A164" t="str">
            <v>GRPM41816</v>
          </cell>
        </row>
        <row r="165">
          <cell r="A165" t="str">
            <v>GRPM41825</v>
          </cell>
        </row>
        <row r="166">
          <cell r="A166" t="str">
            <v>GRPMV401</v>
          </cell>
        </row>
        <row r="167">
          <cell r="A167" t="str">
            <v>GRPN400</v>
          </cell>
        </row>
        <row r="168">
          <cell r="A168" t="str">
            <v>GRPNM9010</v>
          </cell>
        </row>
        <row r="169">
          <cell r="A169" t="str">
            <v>GRPP402</v>
          </cell>
        </row>
        <row r="170">
          <cell r="A170" t="str">
            <v>GRPP408</v>
          </cell>
        </row>
        <row r="171">
          <cell r="A171" t="str">
            <v>GRPP409B</v>
          </cell>
        </row>
        <row r="172">
          <cell r="A172" t="str">
            <v>GRPP43916</v>
          </cell>
        </row>
        <row r="173">
          <cell r="A173" t="str">
            <v>GRPP50116</v>
          </cell>
        </row>
        <row r="174">
          <cell r="A174" t="str">
            <v>GRPP50146</v>
          </cell>
        </row>
        <row r="175">
          <cell r="A175" t="str">
            <v>GRPPV403</v>
          </cell>
        </row>
        <row r="176">
          <cell r="A176" t="str">
            <v>GRPPV404</v>
          </cell>
        </row>
        <row r="177">
          <cell r="A177" t="str">
            <v>GRPS513</v>
          </cell>
        </row>
        <row r="178">
          <cell r="A178" t="str">
            <v>GRPS51425</v>
          </cell>
        </row>
        <row r="179">
          <cell r="A179" t="str">
            <v>GRPSD51126</v>
          </cell>
        </row>
        <row r="180">
          <cell r="A180" t="str">
            <v>GRPSD51426</v>
          </cell>
        </row>
        <row r="181">
          <cell r="A181" t="str">
            <v>GRPST511</v>
          </cell>
        </row>
        <row r="182">
          <cell r="A182" t="str">
            <v>GRPST512</v>
          </cell>
        </row>
        <row r="183">
          <cell r="A183" t="str">
            <v>GRPST51225</v>
          </cell>
        </row>
        <row r="184">
          <cell r="A184" t="str">
            <v>GRPST51225FG</v>
          </cell>
        </row>
        <row r="185">
          <cell r="A185" t="str">
            <v>GRPST51238</v>
          </cell>
        </row>
        <row r="186">
          <cell r="A186" t="str">
            <v>GRPST514</v>
          </cell>
        </row>
        <row r="187">
          <cell r="A187" t="str">
            <v>GRPST51425FG</v>
          </cell>
        </row>
        <row r="188">
          <cell r="A188" t="str">
            <v>GRPST515B</v>
          </cell>
        </row>
        <row r="189">
          <cell r="A189" t="str">
            <v>GRPSTM51425</v>
          </cell>
        </row>
        <row r="190">
          <cell r="A190" t="str">
            <v>GRPSTS51125</v>
          </cell>
        </row>
        <row r="191">
          <cell r="A191" t="str">
            <v>GRWN51824</v>
          </cell>
        </row>
        <row r="192">
          <cell r="A192" t="str">
            <v>L1000012</v>
          </cell>
        </row>
        <row r="193">
          <cell r="A193" t="str">
            <v>LAV.SLMNNSGA</v>
          </cell>
        </row>
        <row r="194">
          <cell r="A194" t="str">
            <v>MAP001</v>
          </cell>
        </row>
        <row r="195">
          <cell r="A195" t="str">
            <v>MBSTPR216</v>
          </cell>
        </row>
        <row r="196">
          <cell r="A196" t="str">
            <v>MP139</v>
          </cell>
        </row>
        <row r="197">
          <cell r="A197" t="str">
            <v>MP208</v>
          </cell>
        </row>
        <row r="198">
          <cell r="A198" t="str">
            <v>MP211B5</v>
          </cell>
        </row>
        <row r="199">
          <cell r="A199" t="str">
            <v>MPAV01</v>
          </cell>
        </row>
        <row r="200">
          <cell r="A200" t="str">
            <v>MPCLF1</v>
          </cell>
        </row>
        <row r="201">
          <cell r="A201" t="str">
            <v>MPFRMP621</v>
          </cell>
        </row>
        <row r="202">
          <cell r="A202" t="str">
            <v>MPFRMP622</v>
          </cell>
        </row>
        <row r="203">
          <cell r="A203" t="str">
            <v>MPFRMP623</v>
          </cell>
        </row>
        <row r="204">
          <cell r="A204" t="str">
            <v>MPFRMP624</v>
          </cell>
        </row>
        <row r="205">
          <cell r="A205" t="str">
            <v>MPFRMPT604</v>
          </cell>
        </row>
        <row r="206">
          <cell r="A206" t="str">
            <v>MPFRMSG612B</v>
          </cell>
        </row>
        <row r="207">
          <cell r="A207" t="str">
            <v>MPFRMSG613</v>
          </cell>
        </row>
        <row r="208">
          <cell r="A208" t="str">
            <v>MPFRNST608B</v>
          </cell>
        </row>
        <row r="209">
          <cell r="A209" t="str">
            <v>MPFRPP609</v>
          </cell>
        </row>
        <row r="210">
          <cell r="A210" t="str">
            <v>MPGRART51724</v>
          </cell>
        </row>
        <row r="211">
          <cell r="A211" t="str">
            <v>MPGRMP50024</v>
          </cell>
        </row>
        <row r="212">
          <cell r="A212" t="str">
            <v>MPGRMP50224</v>
          </cell>
        </row>
        <row r="213">
          <cell r="A213" t="str">
            <v>MPGRMPT50135</v>
          </cell>
        </row>
        <row r="214">
          <cell r="A214" t="str">
            <v>MPGRMPT50424</v>
          </cell>
        </row>
        <row r="215">
          <cell r="A215" t="str">
            <v>MPGRMPT506</v>
          </cell>
        </row>
        <row r="216">
          <cell r="A216" t="str">
            <v>MPGRMPT51825</v>
          </cell>
        </row>
        <row r="217">
          <cell r="A217" t="str">
            <v>MPGRMST51024</v>
          </cell>
        </row>
        <row r="218">
          <cell r="A218" t="str">
            <v>MPGRNT510</v>
          </cell>
        </row>
        <row r="219">
          <cell r="A219" t="str">
            <v>MPGRNT510B</v>
          </cell>
        </row>
        <row r="220">
          <cell r="A220" t="str">
            <v>MPGRNT59024</v>
          </cell>
        </row>
        <row r="221">
          <cell r="A221" t="str">
            <v>MPMBSTP214</v>
          </cell>
        </row>
        <row r="222">
          <cell r="A222" t="str">
            <v>MPMBSTPT215</v>
          </cell>
        </row>
        <row r="223">
          <cell r="A223" t="str">
            <v>MPMBSTPTS216</v>
          </cell>
        </row>
        <row r="224">
          <cell r="A224" t="str">
            <v>MPMPR200</v>
          </cell>
        </row>
        <row r="225">
          <cell r="A225" t="str">
            <v>MPMPT208</v>
          </cell>
        </row>
        <row r="226">
          <cell r="A226" t="str">
            <v>MPMPT209</v>
          </cell>
        </row>
        <row r="227">
          <cell r="A227" t="str">
            <v>MPMPT211</v>
          </cell>
        </row>
        <row r="228">
          <cell r="A228" t="str">
            <v>MPNOCMT514</v>
          </cell>
        </row>
        <row r="229">
          <cell r="A229" t="str">
            <v>MPNOCPT90</v>
          </cell>
        </row>
        <row r="230">
          <cell r="A230" t="str">
            <v>MPNOCPTB</v>
          </cell>
        </row>
        <row r="231">
          <cell r="A231" t="str">
            <v>MPNOCT1315</v>
          </cell>
        </row>
        <row r="232">
          <cell r="A232" t="str">
            <v>MPNOCT514</v>
          </cell>
        </row>
        <row r="233">
          <cell r="A233" t="str">
            <v>MPNPR300</v>
          </cell>
        </row>
        <row r="234">
          <cell r="A234" t="str">
            <v>MPPARTS703</v>
          </cell>
        </row>
        <row r="235">
          <cell r="A235" t="str">
            <v>MPPLM2078B</v>
          </cell>
        </row>
        <row r="236">
          <cell r="A236" t="str">
            <v>MPPMPT2071-3</v>
          </cell>
        </row>
        <row r="237">
          <cell r="A237" t="str">
            <v>MPPMPT22G</v>
          </cell>
        </row>
        <row r="238">
          <cell r="A238" t="str">
            <v>MPPMPT4060</v>
          </cell>
        </row>
        <row r="239">
          <cell r="A239" t="str">
            <v>MPPNC902</v>
          </cell>
        </row>
        <row r="240">
          <cell r="A240" t="str">
            <v>MPPNC902B</v>
          </cell>
        </row>
        <row r="241">
          <cell r="A241" t="str">
            <v>MPPNS904B</v>
          </cell>
        </row>
        <row r="242">
          <cell r="A242" t="str">
            <v>MPPNSS100</v>
          </cell>
        </row>
        <row r="243">
          <cell r="A243" t="str">
            <v>MPPNSTD900</v>
          </cell>
        </row>
        <row r="244">
          <cell r="A244" t="str">
            <v>MPPP1070</v>
          </cell>
        </row>
        <row r="245">
          <cell r="A245" t="str">
            <v>MPPP1071</v>
          </cell>
        </row>
        <row r="246">
          <cell r="A246" t="str">
            <v>MPPPM90</v>
          </cell>
        </row>
        <row r="247">
          <cell r="A247" t="str">
            <v>MPPSGVBDOP</v>
          </cell>
        </row>
        <row r="248">
          <cell r="A248" t="str">
            <v>MPPSTART</v>
          </cell>
        </row>
        <row r="249">
          <cell r="A249" t="str">
            <v>MPPTRN4522</v>
          </cell>
        </row>
        <row r="250">
          <cell r="A250" t="str">
            <v>MPR200</v>
          </cell>
        </row>
        <row r="251">
          <cell r="A251" t="str">
            <v>MPS2013436</v>
          </cell>
        </row>
        <row r="252">
          <cell r="A252" t="str">
            <v>MPS216</v>
          </cell>
        </row>
        <row r="253">
          <cell r="A253" t="str">
            <v>MPT208</v>
          </cell>
        </row>
        <row r="254">
          <cell r="A254" t="str">
            <v>MPT3436</v>
          </cell>
        </row>
        <row r="255">
          <cell r="A255" t="str">
            <v>MPTF219</v>
          </cell>
        </row>
        <row r="256">
          <cell r="A256" t="str">
            <v>MPTT3436</v>
          </cell>
        </row>
        <row r="257">
          <cell r="A257" t="str">
            <v>MSG206</v>
          </cell>
        </row>
        <row r="258">
          <cell r="A258" t="str">
            <v>MSGAVGT</v>
          </cell>
        </row>
        <row r="259">
          <cell r="A259" t="str">
            <v>MSGS3436</v>
          </cell>
        </row>
        <row r="260">
          <cell r="A260" t="str">
            <v>MSGT206</v>
          </cell>
        </row>
        <row r="261">
          <cell r="A261" t="str">
            <v>MSGT3436</v>
          </cell>
        </row>
        <row r="262">
          <cell r="A262" t="str">
            <v>MSGT3637</v>
          </cell>
        </row>
        <row r="263">
          <cell r="A263" t="str">
            <v>MSGTS3436</v>
          </cell>
        </row>
        <row r="264">
          <cell r="A264" t="str">
            <v>MSGTT221</v>
          </cell>
        </row>
        <row r="265">
          <cell r="A265" t="str">
            <v>MSGTT3637</v>
          </cell>
        </row>
        <row r="266">
          <cell r="A266" t="str">
            <v>MZPMPA75</v>
          </cell>
        </row>
        <row r="267">
          <cell r="A267" t="str">
            <v>NKACR40</v>
          </cell>
        </row>
        <row r="268">
          <cell r="A268" t="str">
            <v>NKCRMAGV30</v>
          </cell>
        </row>
        <row r="269">
          <cell r="A269" t="str">
            <v>NKCRMANV26</v>
          </cell>
        </row>
        <row r="270">
          <cell r="A270" t="str">
            <v>NKCRMAPV26</v>
          </cell>
        </row>
        <row r="271">
          <cell r="A271" t="str">
            <v>NKGCR45</v>
          </cell>
        </row>
        <row r="272">
          <cell r="A272" t="str">
            <v>NKHCR40</v>
          </cell>
        </row>
        <row r="273">
          <cell r="A273" t="str">
            <v>NKPCR16</v>
          </cell>
        </row>
        <row r="274">
          <cell r="A274" t="str">
            <v>NKPHLRX10</v>
          </cell>
        </row>
        <row r="275">
          <cell r="A275" t="str">
            <v>NKPLMX10</v>
          </cell>
        </row>
        <row r="276">
          <cell r="A276" t="str">
            <v>NKPMT10</v>
          </cell>
        </row>
        <row r="277">
          <cell r="A277" t="str">
            <v>NKPPSTEX10</v>
          </cell>
        </row>
        <row r="278">
          <cell r="A278" t="str">
            <v>NOCGIFPT001</v>
          </cell>
        </row>
        <row r="279">
          <cell r="A279" t="str">
            <v>NOCGIFPTCILE</v>
          </cell>
        </row>
        <row r="280">
          <cell r="A280" t="str">
            <v>NOCPTB39</v>
          </cell>
        </row>
        <row r="281">
          <cell r="A281" t="str">
            <v>NOCPTB90</v>
          </cell>
        </row>
        <row r="282">
          <cell r="A282" t="str">
            <v>OE.ARAN.BIO</v>
          </cell>
        </row>
        <row r="283">
          <cell r="A283" t="str">
            <v>OE.LIM.BIO</v>
          </cell>
        </row>
        <row r="284">
          <cell r="A284" t="str">
            <v>OE.MANDG.BIO</v>
          </cell>
        </row>
        <row r="285">
          <cell r="A285" t="str">
            <v>OEARAM001</v>
          </cell>
        </row>
        <row r="286">
          <cell r="A286" t="str">
            <v>OEARAN001</v>
          </cell>
        </row>
        <row r="287">
          <cell r="A287" t="str">
            <v>OEARAN002</v>
          </cell>
        </row>
        <row r="288">
          <cell r="A288" t="str">
            <v>OEARR003</v>
          </cell>
        </row>
        <row r="289">
          <cell r="A289" t="str">
            <v>OEARR1</v>
          </cell>
        </row>
        <row r="290">
          <cell r="A290" t="str">
            <v>OEBERG001</v>
          </cell>
        </row>
        <row r="291">
          <cell r="A291" t="str">
            <v>OECEDRO001</v>
          </cell>
        </row>
        <row r="292">
          <cell r="A292" t="str">
            <v>OECHI001</v>
          </cell>
        </row>
        <row r="293">
          <cell r="A293" t="str">
            <v>OECLM001</v>
          </cell>
        </row>
        <row r="294">
          <cell r="A294" t="str">
            <v>OECNL001</v>
          </cell>
        </row>
        <row r="295">
          <cell r="A295" t="str">
            <v>OELAV001</v>
          </cell>
        </row>
        <row r="296">
          <cell r="A296" t="str">
            <v>OELIM001</v>
          </cell>
        </row>
        <row r="297">
          <cell r="A297" t="str">
            <v>OELIM002</v>
          </cell>
        </row>
        <row r="298">
          <cell r="A298" t="str">
            <v>OELIME001</v>
          </cell>
        </row>
        <row r="299">
          <cell r="A299" t="str">
            <v>OELIMEM001</v>
          </cell>
        </row>
        <row r="300">
          <cell r="A300" t="str">
            <v>OEMAND001</v>
          </cell>
        </row>
        <row r="301">
          <cell r="A301" t="str">
            <v>OEMAND002</v>
          </cell>
        </row>
        <row r="302">
          <cell r="A302" t="str">
            <v>OEMAND003</v>
          </cell>
        </row>
        <row r="303">
          <cell r="A303" t="str">
            <v>OEMAR001</v>
          </cell>
        </row>
        <row r="304">
          <cell r="A304" t="str">
            <v>OEPMPR001</v>
          </cell>
        </row>
        <row r="305">
          <cell r="A305" t="str">
            <v>OMDF001</v>
          </cell>
        </row>
        <row r="306">
          <cell r="A306" t="str">
            <v>PA100</v>
          </cell>
        </row>
        <row r="307">
          <cell r="A307" t="str">
            <v>PAN704</v>
          </cell>
        </row>
        <row r="308">
          <cell r="A308" t="str">
            <v>PAN704B</v>
          </cell>
        </row>
        <row r="309">
          <cell r="A309" t="str">
            <v>PANT706</v>
          </cell>
        </row>
        <row r="310">
          <cell r="A310" t="str">
            <v>PARC001</v>
          </cell>
        </row>
        <row r="311">
          <cell r="A311" t="str">
            <v>PC6570</v>
          </cell>
        </row>
        <row r="312">
          <cell r="A312" t="str">
            <v>PC70UTZ</v>
          </cell>
        </row>
        <row r="313">
          <cell r="A313" t="str">
            <v>PGA802</v>
          </cell>
        </row>
        <row r="314">
          <cell r="A314" t="str">
            <v>PHLRX10</v>
          </cell>
        </row>
        <row r="315">
          <cell r="A315" t="str">
            <v>PIN.P001</v>
          </cell>
        </row>
        <row r="316">
          <cell r="A316" t="str">
            <v>PIPIN700</v>
          </cell>
        </row>
        <row r="317">
          <cell r="A317" t="str">
            <v>PISCLFTS1</v>
          </cell>
        </row>
        <row r="318">
          <cell r="A318" t="str">
            <v>PISSG1</v>
          </cell>
        </row>
        <row r="319">
          <cell r="A319" t="str">
            <v>PISSG30</v>
          </cell>
        </row>
        <row r="320">
          <cell r="A320" t="str">
            <v>PISSG39</v>
          </cell>
        </row>
        <row r="321">
          <cell r="A321" t="str">
            <v>PISSG90</v>
          </cell>
        </row>
        <row r="322">
          <cell r="A322" t="str">
            <v>PISSG90M</v>
          </cell>
        </row>
        <row r="323">
          <cell r="A323" t="str">
            <v>PISSG90M.SV</v>
          </cell>
        </row>
        <row r="324">
          <cell r="A324" t="str">
            <v>PISSGD90PG</v>
          </cell>
        </row>
        <row r="325">
          <cell r="A325" t="str">
            <v>PISSGS001</v>
          </cell>
        </row>
        <row r="326">
          <cell r="A326" t="str">
            <v>PISSGSD001</v>
          </cell>
        </row>
        <row r="327">
          <cell r="A327" t="str">
            <v>PISSGSU01</v>
          </cell>
        </row>
        <row r="328">
          <cell r="A328" t="str">
            <v>PISSGSU01.SV</v>
          </cell>
        </row>
        <row r="329">
          <cell r="A329" t="str">
            <v>PISSGT30</v>
          </cell>
        </row>
        <row r="330">
          <cell r="A330" t="str">
            <v>PISSGTS</v>
          </cell>
        </row>
        <row r="331">
          <cell r="A331" t="str">
            <v>PISSGTT</v>
          </cell>
        </row>
        <row r="332">
          <cell r="A332" t="str">
            <v>PLM2070</v>
          </cell>
        </row>
        <row r="333">
          <cell r="A333" t="str">
            <v>PLM2070B</v>
          </cell>
        </row>
        <row r="334">
          <cell r="A334" t="str">
            <v>PLM2078</v>
          </cell>
        </row>
        <row r="335">
          <cell r="A335" t="str">
            <v>PLM2078B</v>
          </cell>
        </row>
        <row r="336">
          <cell r="A336" t="str">
            <v>PLM2079</v>
          </cell>
        </row>
        <row r="337">
          <cell r="A337" t="str">
            <v>PLM2079PS</v>
          </cell>
        </row>
        <row r="338">
          <cell r="A338" t="str">
            <v>PLM2080</v>
          </cell>
        </row>
        <row r="339">
          <cell r="A339" t="str">
            <v>PLM2085</v>
          </cell>
        </row>
        <row r="340">
          <cell r="A340" t="str">
            <v>PLM2086</v>
          </cell>
        </row>
        <row r="341">
          <cell r="A341" t="str">
            <v>PLM2086B</v>
          </cell>
        </row>
        <row r="342">
          <cell r="A342" t="str">
            <v>PLM2087</v>
          </cell>
        </row>
        <row r="343">
          <cell r="A343" t="str">
            <v>PLM2088</v>
          </cell>
        </row>
        <row r="344">
          <cell r="A344" t="str">
            <v>PLM7030B-MS</v>
          </cell>
        </row>
        <row r="345">
          <cell r="A345" t="str">
            <v>PLM7030B-US</v>
          </cell>
        </row>
        <row r="346">
          <cell r="A346" t="str">
            <v>PLM80</v>
          </cell>
        </row>
        <row r="347">
          <cell r="A347" t="str">
            <v>PLM8020</v>
          </cell>
        </row>
        <row r="348">
          <cell r="A348" t="str">
            <v>PLM8020B</v>
          </cell>
        </row>
        <row r="349">
          <cell r="A349" t="str">
            <v>PLM9010</v>
          </cell>
        </row>
        <row r="350">
          <cell r="A350" t="str">
            <v>PLM9505</v>
          </cell>
        </row>
        <row r="351">
          <cell r="A351" t="str">
            <v>PLMPT2652</v>
          </cell>
        </row>
        <row r="352">
          <cell r="A352" t="str">
            <v>PLMT100</v>
          </cell>
        </row>
        <row r="353">
          <cell r="A353" t="str">
            <v>PLMVN1</v>
          </cell>
        </row>
        <row r="354">
          <cell r="A354" t="str">
            <v>PLMVN2</v>
          </cell>
        </row>
        <row r="355">
          <cell r="A355" t="str">
            <v>PMA2073</v>
          </cell>
        </row>
        <row r="356">
          <cell r="A356" t="str">
            <v>PMAT2074</v>
          </cell>
        </row>
        <row r="357">
          <cell r="A357" t="str">
            <v>PMAT2074MA</v>
          </cell>
        </row>
        <row r="358">
          <cell r="A358" t="str">
            <v>PMNPR50</v>
          </cell>
        </row>
        <row r="359">
          <cell r="A359" t="str">
            <v>PMPT100</v>
          </cell>
        </row>
        <row r="360">
          <cell r="A360" t="str">
            <v>PMPT2071</v>
          </cell>
        </row>
        <row r="361">
          <cell r="A361" t="str">
            <v>PMPT2071B</v>
          </cell>
        </row>
        <row r="362">
          <cell r="A362" t="str">
            <v>PMPT2071MA</v>
          </cell>
        </row>
        <row r="363">
          <cell r="A363" t="str">
            <v>PMPT2072</v>
          </cell>
        </row>
        <row r="364">
          <cell r="A364" t="str">
            <v>PMPT2073</v>
          </cell>
        </row>
        <row r="365">
          <cell r="A365" t="str">
            <v>PMPT2075</v>
          </cell>
        </row>
        <row r="366">
          <cell r="A366" t="str">
            <v>PMPT2081</v>
          </cell>
        </row>
        <row r="367">
          <cell r="A367" t="str">
            <v>PMPT2081TF</v>
          </cell>
        </row>
        <row r="368">
          <cell r="A368" t="str">
            <v>PMPT2082B</v>
          </cell>
        </row>
        <row r="369">
          <cell r="A369" t="str">
            <v>PMPT2095</v>
          </cell>
        </row>
        <row r="370">
          <cell r="A370" t="str">
            <v>PMPT2095B</v>
          </cell>
        </row>
        <row r="371">
          <cell r="A371" t="str">
            <v>PMPT20B</v>
          </cell>
        </row>
        <row r="372">
          <cell r="A372" t="str">
            <v>PMPT20G</v>
          </cell>
        </row>
        <row r="373">
          <cell r="A373" t="str">
            <v>PMPT22B</v>
          </cell>
        </row>
        <row r="374">
          <cell r="A374" t="str">
            <v>PMPT22G</v>
          </cell>
        </row>
        <row r="375">
          <cell r="A375" t="str">
            <v>PMPT22MB</v>
          </cell>
        </row>
        <row r="376">
          <cell r="A376" t="str">
            <v>PMPT3408</v>
          </cell>
        </row>
        <row r="377">
          <cell r="A377" t="str">
            <v>PMPT3455-2</v>
          </cell>
        </row>
        <row r="378">
          <cell r="A378" t="str">
            <v>PMPT3455-2PS</v>
          </cell>
        </row>
        <row r="379">
          <cell r="A379" t="str">
            <v>PMPT4060</v>
          </cell>
        </row>
        <row r="380">
          <cell r="A380" t="str">
            <v>PMPT95B</v>
          </cell>
        </row>
        <row r="381">
          <cell r="A381" t="str">
            <v>PMPTF2071</v>
          </cell>
        </row>
        <row r="382">
          <cell r="A382" t="str">
            <v>PMPTVN1</v>
          </cell>
        </row>
        <row r="383">
          <cell r="A383" t="str">
            <v>PMSGT2071</v>
          </cell>
        </row>
        <row r="384">
          <cell r="A384" t="str">
            <v>PMSGT2076</v>
          </cell>
        </row>
        <row r="385">
          <cell r="A385" t="str">
            <v>PMSGT2083</v>
          </cell>
        </row>
        <row r="386">
          <cell r="A386" t="str">
            <v>PMSGT2084</v>
          </cell>
        </row>
        <row r="387">
          <cell r="A387" t="str">
            <v>PMSGT2084PS</v>
          </cell>
        </row>
        <row r="388">
          <cell r="A388" t="str">
            <v>PMSGT3447</v>
          </cell>
        </row>
        <row r="389">
          <cell r="A389" t="str">
            <v>PMSGTPR50</v>
          </cell>
        </row>
        <row r="390">
          <cell r="A390" t="str">
            <v>PNC902</v>
          </cell>
        </row>
        <row r="391">
          <cell r="A391" t="str">
            <v>PNC902B</v>
          </cell>
        </row>
        <row r="392">
          <cell r="A392" t="str">
            <v>PNPR50</v>
          </cell>
        </row>
        <row r="393">
          <cell r="A393" t="str">
            <v>PNPR50B</v>
          </cell>
        </row>
        <row r="394">
          <cell r="A394" t="str">
            <v>PNS908B</v>
          </cell>
        </row>
        <row r="395">
          <cell r="A395" t="str">
            <v>PNSTD900</v>
          </cell>
        </row>
        <row r="396">
          <cell r="A396" t="str">
            <v>PP1010</v>
          </cell>
        </row>
        <row r="397">
          <cell r="A397" t="str">
            <v>PP1011</v>
          </cell>
        </row>
        <row r="398">
          <cell r="A398" t="str">
            <v>PP1012</v>
          </cell>
        </row>
        <row r="399">
          <cell r="A399" t="str">
            <v>PP1013</v>
          </cell>
        </row>
        <row r="400">
          <cell r="A400" t="str">
            <v>PP1015</v>
          </cell>
        </row>
        <row r="401">
          <cell r="A401" t="str">
            <v>PP1070</v>
          </cell>
        </row>
        <row r="402">
          <cell r="A402" t="str">
            <v>PP1070(NEW)</v>
          </cell>
        </row>
        <row r="403">
          <cell r="A403" t="str">
            <v>PP1071</v>
          </cell>
        </row>
        <row r="404">
          <cell r="A404" t="str">
            <v>PP1071PS-4</v>
          </cell>
        </row>
        <row r="405">
          <cell r="A405" t="str">
            <v>PP1071PS-4(NEW)</v>
          </cell>
        </row>
        <row r="406">
          <cell r="A406" t="str">
            <v>PP1073</v>
          </cell>
        </row>
        <row r="407">
          <cell r="A407" t="str">
            <v>PP1073PS</v>
          </cell>
        </row>
        <row r="408">
          <cell r="A408" t="str">
            <v>PP1074</v>
          </cell>
        </row>
        <row r="409">
          <cell r="A409" t="str">
            <v>PP1075</v>
          </cell>
        </row>
        <row r="410">
          <cell r="A410" t="str">
            <v>PP1075PS</v>
          </cell>
        </row>
        <row r="411">
          <cell r="A411" t="str">
            <v>PP1079</v>
          </cell>
        </row>
        <row r="412">
          <cell r="A412" t="str">
            <v>PP1081</v>
          </cell>
        </row>
        <row r="413">
          <cell r="A413" t="str">
            <v>PP1083</v>
          </cell>
        </row>
        <row r="414">
          <cell r="A414" t="str">
            <v>PP1096</v>
          </cell>
        </row>
        <row r="415">
          <cell r="A415" t="str">
            <v>PP1701P</v>
          </cell>
        </row>
        <row r="416">
          <cell r="A416" t="str">
            <v>PP2019B</v>
          </cell>
        </row>
        <row r="417">
          <cell r="A417" t="str">
            <v>PP3345</v>
          </cell>
        </row>
        <row r="418">
          <cell r="A418" t="str">
            <v>PP3346</v>
          </cell>
        </row>
        <row r="419">
          <cell r="A419" t="str">
            <v>PP3346PS</v>
          </cell>
        </row>
        <row r="420">
          <cell r="A420" t="str">
            <v>PP3347</v>
          </cell>
        </row>
        <row r="421">
          <cell r="A421" t="str">
            <v>PPAPG1</v>
          </cell>
        </row>
        <row r="422">
          <cell r="A422" t="str">
            <v>PPAPG2</v>
          </cell>
        </row>
        <row r="423">
          <cell r="A423" t="str">
            <v>PPAPG2B</v>
          </cell>
        </row>
        <row r="424">
          <cell r="A424" t="str">
            <v>PPAPG3</v>
          </cell>
        </row>
        <row r="425">
          <cell r="A425" t="str">
            <v>PPDOP001</v>
          </cell>
        </row>
        <row r="426">
          <cell r="A426" t="str">
            <v>PPM19</v>
          </cell>
        </row>
        <row r="427">
          <cell r="A427" t="str">
            <v>PPM1900</v>
          </cell>
        </row>
        <row r="428">
          <cell r="A428" t="str">
            <v>PPM1900B</v>
          </cell>
        </row>
        <row r="429">
          <cell r="A429" t="str">
            <v>PPM1901</v>
          </cell>
        </row>
        <row r="430">
          <cell r="A430" t="str">
            <v>PPM1901PS</v>
          </cell>
        </row>
        <row r="431">
          <cell r="A431" t="str">
            <v>PPM1901PS-2</v>
          </cell>
        </row>
        <row r="432">
          <cell r="A432" t="str">
            <v>PPM3773</v>
          </cell>
        </row>
        <row r="433">
          <cell r="A433" t="str">
            <v>PPM3953</v>
          </cell>
        </row>
        <row r="434">
          <cell r="A434" t="str">
            <v>PPM90</v>
          </cell>
        </row>
        <row r="435">
          <cell r="A435" t="str">
            <v>PPMV19</v>
          </cell>
        </row>
        <row r="436">
          <cell r="A436" t="str">
            <v>PPMW100</v>
          </cell>
        </row>
        <row r="437">
          <cell r="A437" t="str">
            <v>PPPR42</v>
          </cell>
        </row>
        <row r="438">
          <cell r="A438" t="str">
            <v>PPS1390</v>
          </cell>
        </row>
        <row r="439">
          <cell r="A439" t="str">
            <v>PPS1390B</v>
          </cell>
        </row>
        <row r="440">
          <cell r="A440" t="str">
            <v>PPS1391</v>
          </cell>
        </row>
        <row r="441">
          <cell r="A441" t="str">
            <v>PPS1391(NEW)</v>
          </cell>
        </row>
        <row r="442">
          <cell r="A442" t="str">
            <v>PPS3917</v>
          </cell>
        </row>
        <row r="443">
          <cell r="A443" t="str">
            <v>PPSTEX10</v>
          </cell>
        </row>
        <row r="444">
          <cell r="A444" t="str">
            <v>PPSTEX10FDA</v>
          </cell>
        </row>
        <row r="445">
          <cell r="A445" t="str">
            <v>PREPCK100</v>
          </cell>
        </row>
        <row r="446">
          <cell r="A446" t="str">
            <v>PRFRGNS</v>
          </cell>
        </row>
        <row r="447">
          <cell r="A447" t="str">
            <v>PRLMN</v>
          </cell>
        </row>
        <row r="448">
          <cell r="A448" t="str">
            <v>PRLMN100</v>
          </cell>
        </row>
        <row r="449">
          <cell r="A449" t="str">
            <v>PSFW2020</v>
          </cell>
        </row>
        <row r="450">
          <cell r="A450" t="str">
            <v>PSGVBDOP</v>
          </cell>
        </row>
        <row r="451">
          <cell r="A451" t="str">
            <v>PSTART</v>
          </cell>
        </row>
        <row r="452">
          <cell r="A452" t="str">
            <v>PSTMPTFC</v>
          </cell>
        </row>
        <row r="453">
          <cell r="A453" t="str">
            <v>PSTNOCTS</v>
          </cell>
        </row>
        <row r="454">
          <cell r="A454" t="str">
            <v>PSTPPM19</v>
          </cell>
        </row>
        <row r="455">
          <cell r="A455" t="str">
            <v>PSTPSGS-2</v>
          </cell>
        </row>
        <row r="456">
          <cell r="A456" t="str">
            <v>PSTPSGS-3</v>
          </cell>
        </row>
        <row r="457">
          <cell r="A457" t="str">
            <v>PTRN1512</v>
          </cell>
        </row>
        <row r="458">
          <cell r="A458" t="str">
            <v>PTRN1512NA</v>
          </cell>
        </row>
        <row r="459">
          <cell r="A459" t="str">
            <v>PTRN1513</v>
          </cell>
        </row>
        <row r="460">
          <cell r="A460" t="str">
            <v>PTRN3373</v>
          </cell>
        </row>
        <row r="461">
          <cell r="A461" t="str">
            <v>PTRN3972</v>
          </cell>
        </row>
        <row r="462">
          <cell r="A462" t="str">
            <v>PTRN3973</v>
          </cell>
        </row>
        <row r="463">
          <cell r="A463" t="str">
            <v>PTRN4522</v>
          </cell>
        </row>
        <row r="464">
          <cell r="A464" t="str">
            <v>PTRN4522BASE</v>
          </cell>
        </row>
        <row r="465">
          <cell r="A465" t="str">
            <v>PTRNN100</v>
          </cell>
        </row>
        <row r="466">
          <cell r="A466" t="str">
            <v>PWN704</v>
          </cell>
        </row>
        <row r="467">
          <cell r="A467" t="str">
            <v>PWN704B</v>
          </cell>
        </row>
        <row r="468">
          <cell r="A468" t="str">
            <v>PWN705</v>
          </cell>
        </row>
        <row r="469">
          <cell r="A469" t="str">
            <v>SALBCL65</v>
          </cell>
        </row>
        <row r="470">
          <cell r="A470" t="str">
            <v>SAMRCT65</v>
          </cell>
        </row>
        <row r="471">
          <cell r="A471" t="str">
            <v>SANSCL65</v>
          </cell>
        </row>
        <row r="472">
          <cell r="A472" t="str">
            <v>SANSCT65</v>
          </cell>
        </row>
        <row r="473">
          <cell r="A473" t="str">
            <v>SARAMCT40</v>
          </cell>
        </row>
        <row r="474">
          <cell r="A474" t="str">
            <v>SARAMCT60</v>
          </cell>
        </row>
        <row r="475">
          <cell r="A475" t="str">
            <v>SARBCL65</v>
          </cell>
        </row>
        <row r="476">
          <cell r="A476" t="str">
            <v>SARBCL70</v>
          </cell>
        </row>
        <row r="477">
          <cell r="A477" t="str">
            <v>SARBCT54</v>
          </cell>
        </row>
        <row r="478">
          <cell r="A478" t="str">
            <v>SARBCT60</v>
          </cell>
        </row>
        <row r="479">
          <cell r="A479" t="str">
            <v>SARBCT60B</v>
          </cell>
        </row>
        <row r="480">
          <cell r="A480" t="str">
            <v>SARBCT63</v>
          </cell>
        </row>
        <row r="481">
          <cell r="A481" t="str">
            <v>SARBCT63B</v>
          </cell>
        </row>
        <row r="482">
          <cell r="A482" t="str">
            <v>SARBCT65</v>
          </cell>
        </row>
        <row r="483">
          <cell r="A483" t="str">
            <v>SARNNS</v>
          </cell>
        </row>
        <row r="484">
          <cell r="A484" t="str">
            <v>SARRCL60</v>
          </cell>
        </row>
        <row r="485">
          <cell r="A485" t="str">
            <v>SARRCT60</v>
          </cell>
        </row>
        <row r="486">
          <cell r="A486" t="str">
            <v>SARRNS</v>
          </cell>
        </row>
        <row r="487">
          <cell r="A487" t="str">
            <v>SBNACL65</v>
          </cell>
        </row>
        <row r="488">
          <cell r="A488" t="str">
            <v>SBRGCT40</v>
          </cell>
        </row>
        <row r="489">
          <cell r="A489" t="str">
            <v>SBRGNS</v>
          </cell>
        </row>
        <row r="490">
          <cell r="A490" t="str">
            <v>SCEDCL48</v>
          </cell>
        </row>
        <row r="491">
          <cell r="A491" t="str">
            <v>SCHICL65</v>
          </cell>
        </row>
        <row r="492">
          <cell r="A492" t="str">
            <v>SCHICT65</v>
          </cell>
        </row>
        <row r="493">
          <cell r="A493" t="str">
            <v>SCHINS</v>
          </cell>
        </row>
        <row r="494">
          <cell r="A494" t="str">
            <v>SCLGCL65</v>
          </cell>
        </row>
        <row r="495">
          <cell r="A495" t="str">
            <v>SFDICT65</v>
          </cell>
        </row>
        <row r="496">
          <cell r="A496" t="str">
            <v>SFRGCL65</v>
          </cell>
        </row>
        <row r="497">
          <cell r="A497" t="str">
            <v>SFRGCT65</v>
          </cell>
        </row>
        <row r="498">
          <cell r="A498" t="str">
            <v>SLIMECL48</v>
          </cell>
        </row>
        <row r="499">
          <cell r="A499" t="str">
            <v>SLIMECL56</v>
          </cell>
        </row>
        <row r="500">
          <cell r="A500" t="str">
            <v>SLIMECT48</v>
          </cell>
        </row>
        <row r="501">
          <cell r="A501" t="str">
            <v>SLIMENS</v>
          </cell>
        </row>
        <row r="502">
          <cell r="A502" t="str">
            <v>SLMNCL40</v>
          </cell>
        </row>
        <row r="503">
          <cell r="A503" t="str">
            <v>SLMNCL48</v>
          </cell>
        </row>
        <row r="504">
          <cell r="A504" t="str">
            <v>SLMNCL48400</v>
          </cell>
        </row>
        <row r="505">
          <cell r="A505" t="str">
            <v>SLMNCL58</v>
          </cell>
        </row>
        <row r="506">
          <cell r="A506" t="str">
            <v>SLMNCT24</v>
          </cell>
        </row>
        <row r="507">
          <cell r="A507" t="str">
            <v>SLMNCT32</v>
          </cell>
        </row>
        <row r="508">
          <cell r="A508" t="str">
            <v>SLMNCT32B</v>
          </cell>
        </row>
        <row r="509">
          <cell r="A509" t="str">
            <v>SLMNCT40</v>
          </cell>
        </row>
        <row r="510">
          <cell r="A510" t="str">
            <v>SLMNCT48</v>
          </cell>
        </row>
        <row r="511">
          <cell r="A511" t="str">
            <v>SLMNCT48B</v>
          </cell>
        </row>
        <row r="512">
          <cell r="A512" t="str">
            <v>SLMNNC</v>
          </cell>
        </row>
        <row r="513">
          <cell r="A513" t="str">
            <v>SLMNNS</v>
          </cell>
        </row>
        <row r="514">
          <cell r="A514" t="str">
            <v>SLMNNSB</v>
          </cell>
        </row>
        <row r="515">
          <cell r="A515" t="str">
            <v>SLMNPN</v>
          </cell>
        </row>
        <row r="516">
          <cell r="A516" t="str">
            <v>SLMNSCT32</v>
          </cell>
        </row>
        <row r="517">
          <cell r="A517" t="str">
            <v>SLMPCL65</v>
          </cell>
        </row>
        <row r="518">
          <cell r="A518" t="str">
            <v>SMELACL65</v>
          </cell>
        </row>
        <row r="519">
          <cell r="A519" t="str">
            <v>SMNDCL70</v>
          </cell>
        </row>
        <row r="520">
          <cell r="A520" t="str">
            <v>SMNDCT50</v>
          </cell>
        </row>
        <row r="521">
          <cell r="A521" t="str">
            <v>SMNDCT60</v>
          </cell>
        </row>
        <row r="522">
          <cell r="A522" t="str">
            <v>SMNDCT65</v>
          </cell>
        </row>
        <row r="523">
          <cell r="A523" t="str">
            <v>SMNDNS</v>
          </cell>
        </row>
        <row r="524">
          <cell r="A524" t="str">
            <v>SMNGCL65</v>
          </cell>
        </row>
        <row r="525">
          <cell r="A525" t="str">
            <v>SMNGNS</v>
          </cell>
        </row>
        <row r="526">
          <cell r="A526" t="str">
            <v>SMRCL65</v>
          </cell>
        </row>
        <row r="527">
          <cell r="A527" t="str">
            <v>SMRTCL65</v>
          </cell>
        </row>
        <row r="528">
          <cell r="A528" t="str">
            <v>SPMPNS</v>
          </cell>
        </row>
        <row r="529">
          <cell r="A529" t="str">
            <v>SPMPRCL65</v>
          </cell>
        </row>
        <row r="530">
          <cell r="A530" t="str">
            <v>SPMPRCT65</v>
          </cell>
        </row>
        <row r="531">
          <cell r="A531" t="str">
            <v>SPMPRNS</v>
          </cell>
        </row>
        <row r="532">
          <cell r="A532" t="str">
            <v>SPRCL65</v>
          </cell>
        </row>
        <row r="533">
          <cell r="A533" t="str">
            <v>SPRGCL65</v>
          </cell>
        </row>
        <row r="534">
          <cell r="A534" t="str">
            <v>SPSCCL65</v>
          </cell>
        </row>
        <row r="535">
          <cell r="A535" t="str">
            <v>SRBSCL65</v>
          </cell>
        </row>
        <row r="536">
          <cell r="A536" t="str">
            <v>UVASLTN</v>
          </cell>
        </row>
        <row r="537">
          <cell r="A537" t="str">
            <v>WFARB</v>
          </cell>
        </row>
        <row r="538">
          <cell r="A538" t="str">
            <v>WFLMN</v>
          </cell>
        </row>
        <row r="539">
          <cell r="A539" t="str">
            <v>WNSA700</v>
          </cell>
        </row>
        <row r="540">
          <cell r="A540" t="str">
            <v>ZUC.IMP</v>
          </cell>
        </row>
        <row r="541">
          <cell r="A541" t="str">
            <v>COPG705</v>
          </cell>
        </row>
        <row r="542">
          <cell r="A542" t="str">
            <v>COPC302</v>
          </cell>
        </row>
        <row r="543">
          <cell r="A543" t="str">
            <v>MPGRMPT50635</v>
          </cell>
        </row>
        <row r="544">
          <cell r="A544" t="str">
            <v>GRPM50016</v>
          </cell>
        </row>
        <row r="545">
          <cell r="A545" t="str">
            <v>OEARAN003</v>
          </cell>
        </row>
        <row r="546">
          <cell r="A546" t="str">
            <v>OEBERG003</v>
          </cell>
        </row>
        <row r="547">
          <cell r="A547" t="str">
            <v>SLMNCT40B</v>
          </cell>
        </row>
        <row r="548">
          <cell r="A548" t="str">
            <v>COPP110</v>
          </cell>
        </row>
        <row r="549">
          <cell r="A549" t="str">
            <v>COPG702-1</v>
          </cell>
        </row>
        <row r="550">
          <cell r="A550" t="str">
            <v>EDPP105</v>
          </cell>
        </row>
        <row r="551">
          <cell r="A551" t="str">
            <v>CRMAGV13</v>
          </cell>
        </row>
        <row r="552">
          <cell r="A552" t="str">
            <v>PWN5322</v>
          </cell>
        </row>
        <row r="553">
          <cell r="A553" t="str">
            <v>DB.660024</v>
          </cell>
        </row>
        <row r="554">
          <cell r="A554" t="str">
            <v>PMPT2071G</v>
          </cell>
        </row>
        <row r="555">
          <cell r="A555" t="str">
            <v>PMPT4060G</v>
          </cell>
        </row>
        <row r="556">
          <cell r="A556" t="str">
            <v>BCM3986</v>
          </cell>
        </row>
        <row r="557">
          <cell r="A557" t="str">
            <v>PPM191413</v>
          </cell>
        </row>
        <row r="558">
          <cell r="A558" t="str">
            <v>PPM191414</v>
          </cell>
        </row>
        <row r="559">
          <cell r="A559" t="str">
            <v>PLM2079-1</v>
          </cell>
        </row>
        <row r="560">
          <cell r="A560" t="str">
            <v>DB.CT-1532</v>
          </cell>
        </row>
        <row r="561">
          <cell r="A561" t="str">
            <v>COPCC402</v>
          </cell>
        </row>
        <row r="562">
          <cell r="A562" t="str">
            <v>PP1073SK</v>
          </cell>
        </row>
        <row r="563">
          <cell r="A563" t="str">
            <v>SPMPCT65</v>
          </cell>
        </row>
        <row r="564">
          <cell r="A564" t="str">
            <v>COPKB15</v>
          </cell>
        </row>
        <row r="565">
          <cell r="A565" t="str">
            <v>DB.5916585</v>
          </cell>
        </row>
        <row r="566">
          <cell r="A566" t="str">
            <v>MPAP1</v>
          </cell>
        </row>
        <row r="567">
          <cell r="A567" t="str">
            <v>PMPT2082</v>
          </cell>
        </row>
        <row r="568">
          <cell r="A568" t="str">
            <v>MPPARTS704</v>
          </cell>
        </row>
        <row r="569">
          <cell r="A569" t="str">
            <v>COPCF900</v>
          </cell>
        </row>
        <row r="570">
          <cell r="A570" t="str">
            <v>COPCF901</v>
          </cell>
        </row>
        <row r="571">
          <cell r="A571" t="str">
            <v>PP1070N</v>
          </cell>
        </row>
        <row r="572">
          <cell r="A572" t="str">
            <v>PP067241-2</v>
          </cell>
        </row>
        <row r="573">
          <cell r="A573" t="str">
            <v>SPMPCL58</v>
          </cell>
        </row>
        <row r="574">
          <cell r="A574" t="str">
            <v>TRPLIME</v>
          </cell>
        </row>
        <row r="575">
          <cell r="A575" t="str">
            <v>PLIMC001</v>
          </cell>
        </row>
        <row r="576">
          <cell r="A576" t="str">
            <v>OEALIM01</v>
          </cell>
        </row>
        <row r="577">
          <cell r="A577" t="str">
            <v>CC244</v>
          </cell>
        </row>
        <row r="578">
          <cell r="A578" t="str">
            <v>PPST101</v>
          </cell>
        </row>
        <row r="579">
          <cell r="A579" t="str">
            <v>PP1073LR</v>
          </cell>
        </row>
        <row r="580">
          <cell r="A580" t="str">
            <v>CFNIB1</v>
          </cell>
        </row>
        <row r="581">
          <cell r="A581" t="str">
            <v>CC244-1</v>
          </cell>
        </row>
        <row r="582">
          <cell r="A582" t="str">
            <v>CC244-2</v>
          </cell>
        </row>
        <row r="583">
          <cell r="A583" t="str">
            <v>PP1073SKVAR</v>
          </cell>
        </row>
        <row r="584">
          <cell r="A584" t="str">
            <v>PMPT2082AR</v>
          </cell>
        </row>
        <row r="585">
          <cell r="A585" t="str">
            <v>PP067241-4</v>
          </cell>
        </row>
        <row r="586">
          <cell r="A586" t="str">
            <v>PPN067241</v>
          </cell>
        </row>
        <row r="587">
          <cell r="A587" t="str">
            <v>PPBIOSP34</v>
          </cell>
        </row>
        <row r="588">
          <cell r="A588" t="str">
            <v>PPBIOSP34-1</v>
          </cell>
        </row>
        <row r="589">
          <cell r="A589" t="str">
            <v>11001765</v>
          </cell>
        </row>
        <row r="590">
          <cell r="A590" t="str">
            <v>11001766</v>
          </cell>
        </row>
        <row r="591">
          <cell r="A591" t="str">
            <v>DB1701</v>
          </cell>
        </row>
        <row r="592">
          <cell r="A592" t="str">
            <v>DB1708</v>
          </cell>
        </row>
        <row r="593">
          <cell r="A593" t="str">
            <v>DB1704</v>
          </cell>
        </row>
        <row r="594">
          <cell r="A594" t="str">
            <v>DB9188</v>
          </cell>
        </row>
        <row r="595">
          <cell r="A595" t="str">
            <v>DB1623</v>
          </cell>
        </row>
        <row r="596">
          <cell r="A596" t="str">
            <v>MPPARTS705</v>
          </cell>
        </row>
        <row r="597">
          <cell r="A597" t="str">
            <v>SLCL48SO2</v>
          </cell>
        </row>
        <row r="598">
          <cell r="A598" t="str">
            <v>GRPSTS51125SAL</v>
          </cell>
        </row>
        <row r="599">
          <cell r="A599" t="str">
            <v>PLM2081</v>
          </cell>
        </row>
        <row r="600">
          <cell r="A600" t="str">
            <v>PP1073SK-1</v>
          </cell>
        </row>
        <row r="601">
          <cell r="A601" t="str">
            <v>GRPST51225SAL</v>
          </cell>
        </row>
        <row r="602">
          <cell r="A602" t="str">
            <v>PPPR20GP</v>
          </cell>
        </row>
        <row r="603">
          <cell r="A603" t="str">
            <v>PNPR20GP</v>
          </cell>
        </row>
        <row r="604">
          <cell r="A604" t="str">
            <v>PMPRSG20GP</v>
          </cell>
        </row>
        <row r="605">
          <cell r="A605" t="str">
            <v>CRMAGV100</v>
          </cell>
        </row>
        <row r="606">
          <cell r="A606" t="str">
            <v>GRMPT50435B</v>
          </cell>
        </row>
        <row r="607">
          <cell r="A607" t="str">
            <v>GRPSTS51113SAL</v>
          </cell>
        </row>
        <row r="608">
          <cell r="A608" t="str">
            <v>PISTPEL39</v>
          </cell>
        </row>
        <row r="609">
          <cell r="A609" t="str">
            <v>NKCRMAMV40</v>
          </cell>
        </row>
        <row r="610">
          <cell r="A610" t="str">
            <v>MPPA022/ISCC</v>
          </cell>
        </row>
        <row r="611">
          <cell r="A611" t="str">
            <v>MPGR241/ISCC</v>
          </cell>
        </row>
        <row r="612">
          <cell r="A612" t="str">
            <v>MPGR253/ISCC</v>
          </cell>
        </row>
        <row r="613">
          <cell r="A613" t="str">
            <v>PMPRSG20FP</v>
          </cell>
        </row>
        <row r="614">
          <cell r="A614" t="str">
            <v>CRMPIS12</v>
          </cell>
        </row>
        <row r="615">
          <cell r="A615" t="str">
            <v>Totale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m Supply" refreshedDate="45979.697329166665" createdVersion="8" refreshedVersion="8" minRefreshableVersion="3" recordCount="96" xr:uid="{00000000-000A-0000-FFFF-FFFF2A000000}">
  <cacheSource type="worksheet">
    <worksheetSource ref="A1:AM1048576" sheet="appmerce_db"/>
  </cacheSource>
  <cacheFields count="39">
    <cacheField name="Sel." numFmtId="0">
      <sharedItems containsBlank="1" count="2">
        <s v="S"/>
        <m/>
      </sharedItems>
    </cacheField>
    <cacheField name="Progr." numFmtId="0">
      <sharedItems containsString="0" containsBlank="1" containsNumber="1" containsInteger="1" minValue="1" maxValue="139" count="9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7"/>
        <n v="29"/>
        <n v="31"/>
        <n v="37"/>
        <n v="38"/>
        <n v="39"/>
        <n v="41"/>
        <n v="43"/>
        <n v="45"/>
        <n v="47"/>
        <n v="49"/>
        <n v="51"/>
        <n v="53"/>
        <n v="55"/>
        <n v="57"/>
        <n v="59"/>
        <n v="61"/>
        <n v="63"/>
        <n v="65"/>
        <n v="66"/>
        <n v="67"/>
        <n v="68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9"/>
        <n v="90"/>
        <n v="91"/>
        <n v="92"/>
        <n v="93"/>
        <n v="94"/>
        <n v="95"/>
        <n v="96"/>
        <n v="97"/>
        <n v="98"/>
        <n v="100"/>
        <n v="101"/>
        <n v="102"/>
        <n v="103"/>
        <n v="104"/>
        <n v="105"/>
        <n v="108"/>
        <n v="109"/>
        <n v="117"/>
        <n v="118"/>
        <n v="119"/>
        <n v="120"/>
        <n v="121"/>
        <n v="127"/>
        <n v="128"/>
        <n v="129"/>
        <n v="130"/>
        <n v="131"/>
        <n v="134"/>
        <n v="135"/>
        <n v="137"/>
        <n v="138"/>
        <n v="139"/>
        <m/>
      </sharedItems>
    </cacheField>
    <cacheField name="Nr. ord." numFmtId="0">
      <sharedItems containsString="0" containsBlank="1" containsNumber="1" containsInteger="1" minValue="244" maxValue="830" count="80">
        <n v="557"/>
        <n v="802"/>
        <n v="563"/>
        <n v="244"/>
        <n v="266"/>
        <n v="768"/>
        <n v="770"/>
        <n v="796"/>
        <n v="797"/>
        <n v="798"/>
        <n v="799"/>
        <n v="800"/>
        <n v="813"/>
        <n v="814"/>
        <n v="776"/>
        <n v="777"/>
        <n v="778"/>
        <n v="791"/>
        <n v="792"/>
        <n v="731"/>
        <n v="732"/>
        <n v="784"/>
        <n v="785"/>
        <n v="786"/>
        <n v="795"/>
        <n v="817"/>
        <n v="818"/>
        <n v="819"/>
        <n v="820"/>
        <n v="821"/>
        <n v="822"/>
        <n v="825"/>
        <n v="828"/>
        <n v="829"/>
        <n v="551"/>
        <n v="564"/>
        <n v="568"/>
        <n v="569"/>
        <n v="790"/>
        <n v="787"/>
        <n v="806"/>
        <n v="566"/>
        <n v="801"/>
        <n v="532"/>
        <n v="561"/>
        <n v="779"/>
        <n v="811"/>
        <n v="823"/>
        <n v="699"/>
        <n v="700"/>
        <n v="735"/>
        <n v="789"/>
        <n v="715"/>
        <n v="763"/>
        <n v="764"/>
        <n v="781"/>
        <n v="816"/>
        <n v="826"/>
        <n v="788"/>
        <n v="570"/>
        <n v="793"/>
        <n v="475"/>
        <n v="827"/>
        <n v="830"/>
        <n v="571"/>
        <n v="804"/>
        <n v="805"/>
        <n v="812"/>
        <n v="824"/>
        <n v="808"/>
        <n v="809"/>
        <n v="722"/>
        <n v="815"/>
        <n v="531"/>
        <n v="559"/>
        <n v="560"/>
        <n v="803"/>
        <n v="807"/>
        <n v="810"/>
        <m/>
      </sharedItems>
    </cacheField>
    <cacheField name="Ser." numFmtId="0">
      <sharedItems containsString="0" containsBlank="1" containsNumber="1" containsInteger="1" minValue="0" maxValue="800" count="3">
        <n v="800"/>
        <n v="0"/>
        <m/>
      </sharedItems>
    </cacheField>
    <cacheField name="Data ordine" numFmtId="0">
      <sharedItems containsNonDate="0" containsDate="1" containsString="0" containsBlank="1" minDate="2025-02-25T00:00:00" maxDate="2025-11-19T00:00:00" count="24">
        <d v="2025-11-03T00:00:00"/>
        <d v="2025-11-14T00:00:00"/>
        <d v="2025-11-11T00:00:00"/>
        <d v="2025-02-25T00:00:00"/>
        <d v="2025-02-27T00:00:00"/>
        <d v="2025-10-28T00:00:00"/>
        <d v="2025-11-06T00:00:00"/>
        <d v="2025-09-25T00:00:00"/>
        <d v="2025-11-04T00:00:00"/>
        <d v="2025-11-07T00:00:00"/>
        <d v="2025-11-18T00:00:00"/>
        <d v="2025-10-29T00:00:00"/>
        <d v="2025-11-05T00:00:00"/>
        <d v="2025-11-12T00:00:00"/>
        <d v="2025-10-15T00:00:00"/>
        <d v="2025-08-20T00:00:00"/>
        <d v="2025-09-29T00:00:00"/>
        <d v="2025-09-12T00:00:00"/>
        <d v="2025-10-22T00:00:00"/>
        <d v="2025-10-31T00:00:00"/>
        <d v="2025-11-17T00:00:00"/>
        <d v="2025-09-05T00:00:00"/>
        <d v="2025-09-23T00:00:00"/>
        <m/>
      </sharedItems>
    </cacheField>
    <cacheField name="Cod." numFmtId="0">
      <sharedItems containsString="0" containsBlank="1" containsNumber="1" containsInteger="1" minValue="58" maxValue="2458" count="30">
        <n v="58"/>
        <n v="64"/>
        <n v="113"/>
        <n v="284"/>
        <n v="343"/>
        <n v="363"/>
        <n v="373"/>
        <n v="394"/>
        <n v="419"/>
        <n v="426"/>
        <n v="466"/>
        <n v="475"/>
        <n v="477"/>
        <n v="484"/>
        <n v="492"/>
        <n v="557"/>
        <n v="568"/>
        <n v="606"/>
        <n v="614"/>
        <n v="1126"/>
        <n v="1134"/>
        <n v="1156"/>
        <n v="1210"/>
        <n v="1224"/>
        <n v="1232"/>
        <n v="2382"/>
        <n v="2383"/>
        <n v="2452"/>
        <n v="2458"/>
        <m/>
      </sharedItems>
    </cacheField>
    <cacheField name="Ragione sociale" numFmtId="0">
      <sharedItems containsBlank="1" count="171">
        <s v="ELAH DUFOUR S.P.A."/>
        <s v="BARATTI &amp; MILANO SRL"/>
        <s v="SIGEL GELATI S.R.L."/>
        <s v="LA SUISSA S.R.L."/>
        <s v="ESKIGEL S.R.L."/>
        <s v="SAMMONTANA SPA Società Benefit"/>
        <s v="GLACES DES ALPES"/>
        <s v="C.D.T. TOMARCHIO SRL"/>
        <s v="FASSI ISTITUTO BIOFARMACEUTICO SPA"/>
        <s v="FABBRI 1905 SPA"/>
        <s v="UNIGRA S.p.A"/>
        <s v="HANSENS FLODEIS"/>
        <s v="COMPRITAL SPA"/>
        <s v="POLE SUD"/>
        <s v="FRANCIACORTA CREME S.P.A."/>
        <s v="PRE GEL SPA"/>
        <s v="PAWEL BIELAWSKI CALATABIANO FOOD INGREDIENTS"/>
        <s v="NUTKAO S.R.L."/>
        <s v="FRONERI ICE CREAM DEUTSCHLAND GMBH"/>
        <s v="MENZ&amp;GASSER SPA"/>
        <s v="-18° SAS"/>
        <s v="SN SOPROGLACES"/>
        <s v="LINDT &amp; SPRÜNGLI S.p.A."/>
        <s v="DISARONNO INGREDIENTS S.P.A."/>
        <s v="UNILEVER EUROPE B.V."/>
        <s v="GLACES DE BOURBON"/>
        <s v="GOLOSI DI SALUTE SRL"/>
        <s v="AUSTRALIANSIAN FOOD GROUP TRADING AS ICE PETERS ICE CREAM"/>
        <s v="S.I.P.A. SPA"/>
        <m/>
        <s v="FORNO FOLLADOR  SRL" u="1"/>
        <s v="ILLVA SARONNO SPA" u="1"/>
        <s v="AGRANA FRUIT AUSTRIA GMBH" u="1"/>
        <s v="GUERRA S.P.A." u="1"/>
        <s v="VALSOIA SPA" u="1"/>
        <s v="MARTINUCCI SRL" u="1"/>
        <s v="S.A.S. ROLAND MONTERRAT" u="1"/>
        <s v="COMPANY-INTEGRA  LLC" u="1"/>
        <s v="ALDA DI PROVENZANO SRL" u="1"/>
        <s v="SELVANIA 1971 SRL" u="1"/>
        <s v="DOMORI SPA" u="1"/>
        <s v="SAPORI DI NONNA TINA SRL" u="1"/>
        <s v="FRONERI POLSKA SP. Z O.O." u="1"/>
        <s v="ITALCANDITI S.P.A" u="1"/>
        <s v="FORNO D'ASOLO SPA" u="1"/>
        <s v="LOEENSWISS TRADE &amp; DEVELOPMENT CO" u="1"/>
        <s v="FRONERI IBERIA S.L." u="1"/>
        <s v="DAVIDE CAMPARI MILANO N.V." u="1"/>
        <s v="TONITTO 1939 SPA" u="1"/>
        <s v="PURATOS ITALIA SRL" u="1"/>
        <s v="ITALIANA CONFETTI SRL" u="1"/>
        <s v="JP MANUFACTURERS" u="1"/>
        <s v="CAROZZI FORMAGGI SRL" u="1"/>
        <s v="SAN MARCO GELATI SRL" u="1"/>
        <s v="FRONERI ADRIATIC DOO Stari Banovci" u="1"/>
        <s v="VIGAP SPA" u="1"/>
        <s v="TATO S.R.L." u="1"/>
        <s v="GLOBAL COMMERCE NETWORK INC." u="1"/>
        <s v="CITTA' DEL GELATO SRL" u="1"/>
        <s v="PREMIATA GELATERIA F.LLI MICHIELAN SRL" u="1"/>
        <s v="TEDESCO S.R.L." u="1"/>
        <s v="GIOVI SRLS" u="1"/>
        <s v="I.A.C. INGREDIENTI ALIMENTARI SRL" u="1"/>
        <s v="C.D.T. TOMARCHIO DISTRIBUZIONE Srl" u="1"/>
        <s v="LINEA GEL ITALIANA S.R.L." u="1"/>
        <s v="GLACES DE LYON" u="1"/>
        <s v="DOLGAM DEI F.LLI GANGEMI SRL" u="1"/>
        <s v="FRONERI ITALY S.R.L." u="1"/>
        <s v="MR WHIPPY SAS DI DI PRISCO SALVATORE" u="1"/>
        <s v="DEL DUCA SRL" u="1"/>
        <s v="BISCUIT INTERNATIONAL UK Ltd" u="1"/>
        <s v="FRONERI FRANCE SAS" u="1"/>
        <s v="FRUJO S.A." u="1"/>
        <s v="SAS AU PARRAIN GENEREUX" u="1"/>
        <s v="MAISON BRIEUC" u="1"/>
        <s v="TRIME S.R.O." u="1"/>
        <s v="DICHEM FOODS AEE" u="1"/>
        <s v="MAISON CAFFET" u="1"/>
        <s v="IL GELATAIO DI ZERBATO GIUSEPPE &amp; C. SNC" u="1"/>
        <s v="LUIGI LAVAZZA SPA" u="1"/>
        <s v="CHOC AND CO. NV" u="1"/>
        <s v="ALVENA SRL" u="1"/>
        <s v="F.I.A.D. SRL" u="1"/>
        <s v="DISTILLERIE CAMEL SPA" u="1"/>
        <s v="FARMAXIAL SRL" u="1"/>
        <s v="MARIE MORIN" u="1"/>
        <s v="MADEMOISELLE DESSERTS WAREGEM" u="1"/>
        <s v="ALPE DEL GARDA soc.coop.Agricola" u="1"/>
        <s v="ARTEGEL SRL" u="1"/>
        <s v="EIS ENGELCHEN GMBH" u="1"/>
        <s v="RELANGHE  S.R.L." u="1"/>
        <s v="MEGA SRL" u="1"/>
        <s v="KIRIL MISCHEFF LIMITED" u="1"/>
        <s v="HISTOIRES DE GLACES" u="1"/>
        <s v="FICO ESSERE BUONI SRLS" u="1"/>
        <s v="GIUSO GUIDO SPA CON UNICO SOCIO" u="1"/>
        <s v="PROSSIMA FERMATA SRL" u="1"/>
        <s v="ICE CATERING SRL" u="1"/>
        <s v="MANCUSO VINCENZO &amp; C. S.R.L." u="1"/>
        <s v="GELATERIA MASTRO GELATO" u="1"/>
        <s v="LAPED S.R.L." u="1"/>
        <s v="V.BESANA S.P.A." u="1"/>
        <s v="NORTE-EUROCAO SLU" u="1"/>
        <s v="OLFOOD SRL" u="1"/>
        <s v="TIMPANARO SRL" u="1"/>
        <s v="EDO SPA" u="1"/>
        <s v="LORENZO NASTASI &amp; C." u="1"/>
        <s v="ARTE DOLCE DI LORENZONI STEFANO" u="1"/>
        <s v="LA PAIMPOLAISE CONSERVERIE" u="1"/>
        <s v="OPTIMA S.P.A." u="1"/>
        <s v="GELNOVA S.R.L." u="1"/>
        <s v="MIDI PYRENNEES PATISSERIE" u="1"/>
        <s v="MANUGELATO SA" u="1"/>
        <s v="LA GOLOSA GELATO GMBH" u="1"/>
        <s v="STERILGARDA  ALIMENTI SPA" u="1"/>
        <s v="DISTILLERIA F.LLI CAFFO SRL" u="1"/>
        <s v="PASTIGLIE LEONE SRL" u="1"/>
        <s v="SALPA &amp; CHERUBINI SRL" u="1"/>
        <s v="IMMERGUT GmbH &amp; Co. KG" u="1"/>
        <s v="NACTIS FLAVOURS FRANCE" u="1"/>
        <s v="GROMART S.R.L." u="1"/>
        <s v="VENCHI S.P.A." u="1"/>
        <s v="CAFFAREL SPA" u="1"/>
        <s v="DISTILLERIE MOCCIA" u="1"/>
        <s v="LIEVITIFICIO SANT'EFLORES DI IOZZIA     VINCENZO &amp; C. SAS" u="1"/>
        <s v="THE NUT KITCHEN LLP" u="1"/>
        <s v="PASTRY WORLD SRL" u="1"/>
        <s v="RIBE S.R.L." u="1"/>
        <s v="HANSENS CHOKOLADE APS" u="1"/>
        <s v="THEOBROMA SAS DI CUCCHI GIUSEPPE, F.SCO &amp; C." u="1"/>
        <s v="SAS VERGERS DE CHATEAUBOURG" u="1"/>
        <s v="DI BARTOLO S.R.L." u="1"/>
        <s v="HELAN COSMESI DI LABORATORIO SRL" u="1"/>
        <s v="LAB PRODUZIONE SRL" u="1"/>
        <s v="DESSERT FANTASY RUSSIA" u="1"/>
        <s v="INDUSTRIAL SAN JOSE SAS" u="1"/>
        <s v="ICE CATERING SAS                        DI CRISCUOLO MARIA&amp;C" u="1"/>
        <s v="MANE ITALIA S.R.L." u="1"/>
        <s v="CHOCOLATERIE GUYLIAN N.V." u="1"/>
        <s v="COLLE VICARIO SRL" u="1"/>
        <s v="BRONTE DOLCI SRL" u="1"/>
        <s v="STRAMONDO SRL" u="1"/>
        <s v="COMINTRADE S.r.l." u="1"/>
        <s v="PANIFICIO FOLLADOR di FOLLADOR ANTONIO" u="1"/>
        <s v="FRATELLI BOLLANI SRL" u="1"/>
        <s v="GASTRONOMICA ROSCIO SRL" u="1"/>
        <s v="DREAMFARM SRL SB" u="1"/>
        <s v="UNILEVER ITALY HOLDINGS SRL" u="1"/>
        <s v="ESSENTIAL S.R.L." u="1"/>
        <s v="MANONI PAOLO &amp; C. S.n.c." u="1"/>
        <s v="ULTIMA MATERIA LLC" u="1"/>
        <s v="CANNOLISSIMI &amp; SYDCILY" u="1"/>
        <s v="INTERNATIONAL FOOD SRL" u="1"/>
        <s v="ECKES GRANINI GROUP GMBH" u="1"/>
        <s v="DEMETRA SRL" u="1"/>
        <s v="RICHETTI SPA" u="1"/>
        <s v="A.R. FARM SRL" u="1"/>
        <s v="GIVAUDAN UK" u="1"/>
        <s v="BEDUSCHI HANDMADE CHOCOLATE SRL" u="1"/>
        <s v="DOTT. PAGLIOTTI PIERANGELO" u="1"/>
        <s v="FRIIS-HOLM CHOKOLADE A/S" u="1"/>
        <s v="GU INDULGENT FOODS LTD" u="1"/>
        <s v="ACIES SRL" u="1"/>
        <s v="ECLOR ENTREPRISE" u="1"/>
        <s v="Calconut S.L." u="1"/>
        <s v="BMC SRL" u="1"/>
        <s v="MIRITZ &amp; DI BARTOLO SRL" u="1"/>
        <s v="DIFFUSION FOODS SRL" u="1"/>
        <s v="SAS LA FRAISERAIE" u="1"/>
        <s v="NACTIS FLAVOURS" u="1"/>
        <s v="HELIO S.A." u="1"/>
      </sharedItems>
    </cacheField>
    <cacheField name="Articolo" numFmtId="0">
      <sharedItems containsBlank="1" count="68">
        <s v="MSGTT3436/G21"/>
        <s v="GRPP40224/GP22"/>
        <s v="PMPT2071/P11"/>
        <s v="MPMPT212/CT20"/>
        <s v="MPGRMPT50625SAL/B500"/>
        <s v="MPGRMPT50825SAL/G21"/>
        <s v="MPGRMPT50825SAL/B500"/>
        <s v="GRPM41368/GP22"/>
        <s v="GRPM41368/BSV500"/>
        <s v="GRPSTS51125SAL/G21"/>
        <s v="GRPSTS51125SAL/B500"/>
        <s v="MPGRMPT50625SAL/G21"/>
        <s v="GRPST51225SAL/G21"/>
        <s v="GRPST51225SAL/BSV500"/>
        <s v="PP1012/P10"/>
        <s v="PPAPG2/P10"/>
        <s v="GRPST51125/G23"/>
        <s v="PTRN5953/P10"/>
        <s v="COPP10-1/P10"/>
        <s v="COPG702/IBC1000"/>
        <s v="MPGR241ISCC/G23"/>
        <s v="PP1010/P12"/>
        <s v="MPPA022ISCC/P12"/>
        <s v="PPAPG2/P12"/>
        <s v="GRPST51225/G23"/>
        <s v="GRPSTS51125/G23"/>
        <s v="GRPM50116/GP23"/>
        <s v="GRPP50116/G23"/>
        <s v="PPDOP001/PP2.5"/>
        <s v="MPNOCPT90/CT21"/>
        <s v="PP1070/P11"/>
        <s v="ARPAN001/F10"/>
        <s v="OE.LIM.BIO/F05"/>
        <s v="PC6570/P13"/>
        <s v="PC6570/PP05"/>
        <s v="PLM2086/P31"/>
        <s v="PLM2086/PP1"/>
        <s v="PP2019B/P21"/>
        <s v="PPM3773/P18"/>
        <s v="PPM3773/PP035"/>
        <s v="MSGT3436/G21"/>
        <s v="MSGT3436/G5"/>
        <s v="MTG/G21"/>
        <s v="MTG/G5"/>
        <s v="PP1011/P11"/>
        <s v="GRPAN40846/G21"/>
        <s v="PPAPG2/P11"/>
        <s v="SFRGCL65/BB20"/>
        <s v="OEARAN001/F10"/>
        <s v="PPAPG3/P11"/>
        <s v="PPAPG22/IBC1000"/>
        <s v="SLMNCT40/IBC1000"/>
        <s v="SARAMCT40/BB20"/>
        <s v="SARAMCT40/SP005"/>
        <s v="SARBCT63/F250"/>
        <s v="SARBCT63/SP005"/>
        <s v="CFSD303/CT25"/>
        <s v="MPPNSTD900/P11"/>
        <s v="EDPGD710/P11"/>
        <s v="PPS1391(NEW)/P17"/>
        <s v="MPPARTS704/P11"/>
        <s v="PMPT341/P11"/>
        <s v="PMPT338/P21"/>
        <s v="GRPAP41068/G21"/>
        <s v="PPM4/P11"/>
        <s v="PPAPG4/P11"/>
        <s v="GRPST51225/G21"/>
        <m/>
      </sharedItems>
    </cacheField>
    <cacheField name="Cod. Cliente" numFmtId="0">
      <sharedItems containsBlank="1" count="73">
        <s v="21906/ G21"/>
        <s v="B21924/GP22"/>
        <s v="B21905/P11"/>
        <s v="MPT212/CT20"/>
        <s v="AFR753010/B500"/>
        <s v="AFR753110/G21"/>
        <s v="AFR753110/BSV500"/>
        <s v="AFR753112/GP22"/>
        <s v="AFR753112/BSV500"/>
        <s v="AFR753111/G21"/>
        <s v="AFR753111/B500"/>
        <s v="AFR753010/G21"/>
        <s v="AFR753011/G21"/>
        <s v="AFR753011/BSV500"/>
        <s v="11000084/P10"/>
        <s v="11001335/P10"/>
        <s v="14000105/G23"/>
        <s v="11000062/ P10"/>
        <s v="14003850/P10"/>
        <s v="MPCC245/IBC1000"/>
        <s v="MPGR272/G23"/>
        <s v="MPPA035 /P12"/>
        <s v="MPPA065/P12"/>
        <s v="MPPA034/P12"/>
        <s v="MPGR075/G23"/>
        <s v="MPGR232/G23"/>
        <s v="MPGR276/GP23"/>
        <s v="MPGR284/G23"/>
        <s v="PPDOP001/PP2.5"/>
        <s v="_MP301/CT21"/>
        <s v="PP1070/P11"/>
        <s v="MP10/F10"/>
        <s v="   OE.LIM.BIO"/>
        <s v="0156450/P13"/>
        <s v="0156450/PP05"/>
        <s v="M 5704LMF/P31"/>
        <s v="M5704LMF/PP1"/>
        <s v="PP2019B"/>
        <s v="M1262/P11"/>
        <s v="PF103PCL/P18"/>
        <s v="PF103PCL/PP035"/>
        <s v="MSGT3436/G21"/>
        <s v="MSGT3436/G5"/>
        <s v="MTG/G21"/>
        <s v="MTG/G5"/>
        <s v="ANN00153/G21"/>
        <s v="01913/ P11"/>
        <s v="1085/BB20"/>
        <s v="3352/F10"/>
        <s v="PPAPG1/ P11"/>
        <s v="MP302/IBC1000"/>
        <s v="11004924/P10"/>
        <s v="11005070/IBC1000"/>
        <s v="500042208/BB20"/>
        <s v="500042208/SP005"/>
        <s v="500042201/F250"/>
        <s v="500042201/SP05"/>
        <s v="CFSD303/CT25"/>
        <s v="B0550/P11"/>
        <s v="EDPGD710/P11"/>
        <s v="870026/P17"/>
        <s v="66685"/>
        <s v="M341/P11"/>
        <s v="M338B/P21"/>
        <s v="68832228 /G21"/>
        <s v="68832227/G21"/>
        <s v="PPAPG2/P11"/>
        <s v="1830054/P11"/>
        <s v="1830052/P11"/>
        <s v="60066429/G23"/>
        <s v="032907/G21"/>
        <s v="055503/P11"/>
        <m/>
      </sharedItems>
    </cacheField>
    <cacheField name="Descrizione art. cliente" numFmtId="0">
      <sharedItems containsBlank="1" count="62">
        <s v="MANDORLE SGUSCIATE TOSTATE CAL. 34/36 QUAL. TUONO"/>
        <s v="GRANELLA DI PISTACCHI PRALINATA ARTIG. 407 CAL.2/4"/>
        <s v="PASTA DI MANDORLE PELATE TOSTATE  B21905"/>
        <s v="MANDORLE PELATE TOSTATE CAL. 34/36"/>
        <s v="Granella di Mandorle Pel Tost Sal E Grande"/>
        <s v="Granella di Mandorle Pel. Tostate Salate IT Grande"/>
        <s v="GRANELLA DI MANDORLA SGUSCIATE PRALINATE 6-8 MM"/>
        <s v="Granella di Pistacchi Sg. Tostati Salati IT Grande"/>
        <s v="Granella di Pistacchi Sgusciati Tost Sal E Grande"/>
        <s v="PASTA PISTACCHIO S 11000084"/>
        <s v="PASTA PISTACCHIO U 11001335"/>
        <s v="GRANELLA DI PISTACCHI TOSTATI S 14000105 CAL. 2/4"/>
        <s v="PASTA TORRONCINO SOLUBILE OE"/>
        <s v="SALSA ANIDRA PISTACCHIO"/>
        <s v="VARIEGATO CACAO NOCCIOLE NO LATTE GIRASOLE"/>
        <s v="GRAN MAND PELATE TOST SICILIA 2-4 mm ISCC PLUS-SG"/>
        <s v="PASTA PISTACCHIO SL"/>
        <s v="PASTA DI MANDORLE 100% ISCC PLUS-SG"/>
        <s v="PASTA PISTACCHIO U MPPA034"/>
        <s v="GRANELLA DI PISTACCHIO SL"/>
        <s v="GRANELLA DI PISTACCHI MPGR232 CAL 2/5mm"/>
        <s v="GRANELLA DI MANDORLA PRALINATA SALATA 1-6 MM"/>
        <s v="GRANELLA DI PISTACCHIO PRALINATA SALATA 1-6 MM"/>
        <s v="PIST. PASTE WITH 100% GREEN PISTACHIO FROM BRONTE"/>
        <s v="NOCCIOLE TOSTATE IT CAL. 13/15 MM"/>
        <s v="PASTA PISTACCHIO S"/>
        <s v="AROMA PANETTONE"/>
        <s v="OLIO ESSENZIALE DI LIMONE SICILIA BIOLOGICO"/>
        <s v="CAFFE' PASTA OLEOSA"/>
        <s v="PASTA LATTE DI MANDORLA 200 KG FUSTI"/>
        <s v="PASTA LATTE DI MANDORLA"/>
        <s v="ORGANIC PISTACHIO PASTE"/>
        <s v="PASTA DI MANDORLE PELATE TOSTATE KG. 20"/>
        <s v="PISTACCHIO EXTRA"/>
        <s v="MANDORLE TUONO SGUSCIATE CAL. 34/36"/>
        <s v="MANDORLE TUONO IN GUSCIO"/>
        <s v="PISTACHIO PASTE S ( Italy/Sicily)"/>
        <s v="CHOPPED HAZELNUT SUGAR COATED"/>
        <s v="PASTA PISTACCHIO MEDITERRANEA"/>
        <s v="SUCCO DI FRAGOLA CONCENTRATO LIMPIDO 65 BX"/>
        <s v="OLIO ESSENZIALE DI ARANCIA DOLCE SICILIA OEARAN001"/>
        <s v="PISTACHIO PASTE U"/>
        <s v="PASTA DI PISTACCHIO"/>
        <s v="LEMON JUICE CONCENTRATED CLOUDY 40° BRIX"/>
        <s v="ARANCIA AMARA SUCCO CONC. TORBIDO 40 Bx-SICILIA"/>
        <s v="SUCCO DI ARANCIA CONCENTRATO TORBIDO 63° BRIX"/>
        <s v="SUCCO DI ARANCIA CONCENTRATO TORBIDO 63 °BX"/>
        <s v="INSTANT COFFEE SPRAY DRIED 303"/>
        <s v="DARK ROASTED HAZELNUT PASTE"/>
        <s v="SWEET GIANDUIOTTO PASTE"/>
        <s v="PAST INS C PIST SICILIA"/>
        <s v="PASTA DI ARACHIDI TOSTATE SALATE"/>
        <s v="PASTA MANDORLA PRIMA BARI"/>
        <s v="PASTA MANDORLA MEDITERRANEO CHIARA"/>
        <s v="SUGARED PISTACHIO GRAIN 6-8 MM GROM 050082"/>
        <s v="SUGARED HAZELNUT GRAIN 4-6 MM GROM 050068"/>
        <s v="PASTA PISTACCHIO SPAGNA"/>
        <s v="PASTA PISTACCHIO CALIFORNIA"/>
        <s v="Pistachio Diced 2-4mm T 20kg"/>
        <s v="GRANELLA DI PISTACCHIO"/>
        <s v="PASTA PISTACCHIO PURA ESTERA S"/>
        <m/>
      </sharedItems>
    </cacheField>
    <cacheField name="Qta/kg OV" numFmtId="0">
      <sharedItems containsString="0" containsBlank="1" containsNumber="1" minValue="0.5" maxValue="20000" count="39">
        <n v="6400"/>
        <n v="3072"/>
        <n v="1000"/>
        <n v="640"/>
        <n v="0.5"/>
        <n v="1296"/>
        <n v="500"/>
        <n v="10000"/>
        <n v="20000"/>
        <n v="3200"/>
        <n v="1500"/>
        <n v="2500"/>
        <n v="1920"/>
        <n v="2304"/>
        <n v="2560"/>
        <n v="2.5"/>
        <n v="100"/>
        <n v="50"/>
        <n v="12400"/>
        <n v="1"/>
        <n v="400"/>
        <n v="700"/>
        <n v="800"/>
        <n v="0.7"/>
        <n v="20"/>
        <n v="5"/>
        <n v="5000"/>
        <n v="250"/>
        <n v="2000"/>
        <n v="4000"/>
        <n v="1440"/>
        <n v="1200"/>
        <n v="275"/>
        <n v="3000"/>
        <n v="480"/>
        <n v="3500"/>
        <n v="160"/>
        <n v="1240"/>
        <m/>
      </sharedItems>
    </cacheField>
    <cacheField name="Qta/kg evasa" numFmtId="0">
      <sharedItems containsString="0" containsBlank="1" containsNumber="1" containsInteger="1" minValue="340" maxValue="340" count="2">
        <m/>
        <n v="340"/>
      </sharedItems>
    </cacheField>
    <cacheField name="Qta/kg da ev." numFmtId="0">
      <sharedItems containsString="0" containsBlank="1" containsNumber="1" minValue="0.5" maxValue="20000" count="40">
        <n v="6400"/>
        <n v="3072"/>
        <n v="1000"/>
        <n v="640"/>
        <n v="0.5"/>
        <n v="300"/>
        <n v="1296"/>
        <n v="500"/>
        <n v="10000"/>
        <n v="20000"/>
        <n v="3200"/>
        <n v="1500"/>
        <n v="2500"/>
        <n v="1920"/>
        <n v="2304"/>
        <n v="2560"/>
        <n v="2.5"/>
        <n v="100"/>
        <n v="50"/>
        <n v="12400"/>
        <n v="1"/>
        <n v="400"/>
        <n v="700"/>
        <n v="800"/>
        <n v="0.7"/>
        <n v="20"/>
        <n v="5"/>
        <n v="5000"/>
        <n v="250"/>
        <n v="2000"/>
        <n v="4000"/>
        <n v="1440"/>
        <n v="1200"/>
        <n v="275"/>
        <n v="3000"/>
        <n v="480"/>
        <n v="3500"/>
        <n v="160"/>
        <n v="1240"/>
        <m/>
      </sharedItems>
    </cacheField>
    <cacheField name="Data sped. utile" numFmtId="0">
      <sharedItems containsNonDate="0" containsDate="1" containsString="0" containsBlank="1" minDate="2025-11-10T00:00:00" maxDate="2026-01-16T00:00:00" count="5">
        <m/>
        <d v="2025-12-05T00:00:00"/>
        <d v="2026-01-15T00:00:00"/>
        <d v="2025-12-01T00:00:00"/>
        <d v="2025-11-10T00:00:00"/>
      </sharedItems>
    </cacheField>
    <cacheField name="Data cons. rich." numFmtId="0">
      <sharedItems containsNonDate="0" containsDate="1" containsString="0" containsBlank="1" minDate="2025-11-03T00:00:00" maxDate="2026-08-01T00:00:00" count="37">
        <d v="2025-11-30T00:00:00"/>
        <d v="2025-12-10T00:00:00"/>
        <m/>
        <d v="2025-11-19T00:00:00"/>
        <d v="2025-11-25T00:00:00"/>
        <d v="2025-12-12T00:00:00"/>
        <d v="2025-12-18T00:00:00"/>
        <d v="2026-01-07T00:00:00"/>
        <d v="2025-12-17T00:00:00"/>
        <d v="2026-01-14T00:00:00"/>
        <d v="2026-01-15T00:00:00"/>
        <d v="2026-02-04T00:00:00"/>
        <d v="2026-02-25T00:00:00"/>
        <d v="2026-03-11T00:00:00"/>
        <d v="2025-11-28T00:00:00"/>
        <d v="2025-11-26T00:00:00"/>
        <d v="2025-12-09T00:00:00"/>
        <d v="2025-11-03T00:00:00"/>
        <d v="2026-01-27T00:00:00"/>
        <d v="2026-01-30T00:00:00"/>
        <d v="2026-05-29T00:00:00"/>
        <d v="2025-12-02T00:00:00"/>
        <d v="2025-12-01T00:00:00"/>
        <d v="2026-01-19T00:00:00"/>
        <d v="2026-02-10T00:00:00"/>
        <d v="2025-12-11T00:00:00"/>
        <d v="2026-01-23T00:00:00"/>
        <d v="2026-07-31T00:00:00"/>
        <d v="2025-12-19T00:00:00"/>
        <d v="2025-12-15T00:00:00"/>
        <d v="2026-01-26T00:00:00"/>
        <d v="2026-01-28T00:00:00"/>
        <d v="2026-01-08T00:00:00"/>
        <d v="2025-12-26T00:00:00"/>
        <d v="2025-11-20T00:00:00"/>
        <d v="2026-01-05T00:00:00"/>
        <d v="2026-01-09T00:00:00"/>
      </sharedItems>
    </cacheField>
    <cacheField name="Desc. vett." numFmtId="0">
      <sharedItems containsBlank="1" containsMixedTypes="1" containsNumber="1" containsInteger="1" minValue="4" maxValue="94310" count="14">
        <s v="TRASPORTI RECUPERO SRL"/>
        <s v="RUSTICO BRUNO"/>
        <s v="CURRO' TRASPORTI SRL"/>
        <s v="DHL EXPRESS ITALY S.R.L."/>
        <s v="MAIL BOXES ETC"/>
        <s v="STEF Italia S.p.A."/>
        <m/>
        <s v="MITTENTE"/>
        <s v="SCHENKER ITALIANA SPA"/>
        <s v="RUSTICO BRUNO + CHRIS SRL"/>
        <n v="8" u="1"/>
        <n v="4" u="1"/>
        <n v="94310" u="1"/>
        <n v="44120" u="1"/>
      </sharedItems>
    </cacheField>
    <cacheField name="T-MIN" numFmtId="0">
      <sharedItems containsString="0" containsBlank="1" containsNumber="1" containsInteger="1" minValue="-18" maxValue="18" count="7">
        <n v="8"/>
        <m/>
        <n v="4"/>
        <n v="18" u="1"/>
        <n v="5" u="1"/>
        <n v="10" u="1"/>
        <n v="-18" u="1"/>
      </sharedItems>
    </cacheField>
    <cacheField name="T-MAX" numFmtId="0">
      <sharedItems containsString="0" containsBlank="1" containsNumber="1" containsInteger="1" minValue="8" maxValue="10" count="3">
        <n v="10"/>
        <m/>
        <n v="8"/>
      </sharedItems>
    </cacheField>
    <cacheField name="CONF" numFmtId="0">
      <sharedItems containsBlank="1" count="28">
        <s v="G21"/>
        <s v="GP22"/>
        <s v="P11"/>
        <s v="CT20"/>
        <s v="BSV500"/>
        <s v="P10"/>
        <s v="G23"/>
        <s v="IBC100"/>
        <s v="P12"/>
        <s v="GP23"/>
        <s v="PP2.5"/>
        <s v="CT21"/>
        <s v="F10"/>
        <s v="F05"/>
        <s v="P13"/>
        <s v="PP05"/>
        <s v="P31"/>
        <s v="PP1"/>
        <s v="P21"/>
        <s v="P18"/>
        <s v="PP035"/>
        <s v="G5"/>
        <s v="BB20"/>
        <s v="SP005"/>
        <s v="F250"/>
        <s v="CT25"/>
        <s v="P17"/>
        <m/>
      </sharedItems>
    </cacheField>
    <cacheField name="Stato ordine" numFmtId="0">
      <sharedItems containsBlank="1" count="3">
        <s v="Non evaso"/>
        <s v="Evaso parzialmente"/>
        <m/>
      </sharedItems>
    </cacheField>
    <cacheField name="Desc. Porto" numFmtId="0">
      <sharedItems containsBlank="1" count="3">
        <s v="DDP"/>
        <s v="EXW OUR WAREHOUSE"/>
        <m/>
      </sharedItems>
    </cacheField>
    <cacheField name="Desc Tipo Sp" numFmtId="0">
      <sharedItems containsBlank="1" count="3">
        <s v="VETTORE"/>
        <s v="DESTINATARIO"/>
        <m/>
      </sharedItems>
    </cacheField>
    <cacheField name="Descrizione" numFmtId="0">
      <sharedItems containsBlank="1" count="30">
        <s v="ELAH DUFOUR S.P.A."/>
        <s v="BARATTI &amp; MILANO SRL"/>
        <s v="SIGEL GELATI S.R.L."/>
        <s v="LA SUISSA"/>
        <s v="ESKIGEL S.R.L."/>
        <s v="SAMMONTANA SPA"/>
        <s v="X LOGISTIC"/>
        <s v="GLACES DES ALPES"/>
        <s v="C.D.T. TOMARCHIO SRL"/>
        <s v="FASSI ISTITUTO BIOFARM"/>
        <s v="FABBRI 1905 SPA"/>
        <s v="UNIGRA S.R.L."/>
        <s v="HANSENS FLODEIS"/>
        <s v="COMPRITAL SPA"/>
        <s v="POLE SUD"/>
        <s v="DISTILLERIE FRANCIACOR"/>
        <s v="PRE GEL SPA"/>
        <s v="LESS MESS STORAGE"/>
        <s v="NUTKAO S.r.l."/>
        <s v="FRONERI ICE CREAM DEUT"/>
        <s v="MENZ&amp;GASSER SPA"/>
        <s v="AMORINO"/>
        <s v="GEXPA / SOGEDIAL"/>
        <s v="LINDT &amp; SPRÜNGLI S.p.A"/>
        <s v="DISARONNO INGREDIENTS"/>
        <s v="PI PLANT MAPPANO WAREH"/>
        <s v="RDT LOG"/>
        <s v="GOLOSI DI SALUTE SRL"/>
        <m/>
        <s v="S.I.P.A. SPA"/>
      </sharedItems>
    </cacheField>
    <cacheField name="Citta'" numFmtId="0">
      <sharedItems containsBlank="1" containsMixedTypes="1" containsNumber="1" containsInteger="1" minValue="0" maxValue="94310" count="41">
        <s v="15067 NOVI LIGURE (AL)"/>
        <s v="12042 BRA CN"/>
        <s v="91025 MARSALA TP"/>
        <s v="15061 ARQUATA SCRIVIA"/>
        <s v="05100 TERNI TR"/>
        <s v="37030 VERONA"/>
        <s v="50053 EMPOLI FI"/>
        <s v="37030 LAVAGNO (VR)"/>
        <s v="74350 ALLONIZER LA CAI"/>
        <s v="95045 MISTERBIANCO CT"/>
        <s v="18027 CHIUSANICO IM"/>
        <s v="40011 ANZOLA DELL'EMIL"/>
        <s v="48017 CONSELICE RA"/>
        <s v="3630 JAEGERPRIS (DANIM"/>
        <s v="20090 SETTALA MI"/>
        <s v="11200 LEZIGNAN CORBIER"/>
        <s v="25064 GUSSAGO BS"/>
        <s v="42122 GAVASSETO (RE)"/>
        <s v="32-060 KRISPINOW (KRAK"/>
        <s v="12040 CANOVE DI GOVONE"/>
        <s v="49080 OSNABRUECK"/>
        <s v="0"/>
        <s v="94310"/>
        <s v="76600 LE HAVRE - FRANC"/>
        <s v="20013 MAGENTA (MI)"/>
        <s v="36077 ALTAVILLA VICENT"/>
        <s v="MAPPANO 10079 (TO)"/>
        <s v="13310 SAINT-MARTIN-DE-"/>
        <s v="12066 MONTICELLO D'ALB"/>
        <m/>
        <s v="20098 SAN GIULIANO MIL"/>
        <n v="94310" u="1"/>
        <n v="22500" u="1"/>
        <n v="39300" u="1"/>
        <n v="0" u="1"/>
        <n v="5" u="1"/>
        <n v="6" u="1"/>
        <n v="4" u="1"/>
        <n v="3" u="1"/>
        <n v="10086" u="1"/>
        <n v="44120" u="1"/>
      </sharedItems>
    </cacheField>
    <cacheField name="Gruppo" numFmtId="0">
      <sharedItems containsString="0" containsBlank="1" containsNumber="1" containsInteger="1" minValue="4" maxValue="6" count="4">
        <n v="5"/>
        <n v="4"/>
        <n v="6"/>
        <m/>
      </sharedItems>
    </cacheField>
    <cacheField name="Descrizione famiglia" numFmtId="0">
      <sharedItems containsBlank="1" count="11">
        <s v="MANDORLE"/>
        <s v="GRANELLE PRALINATE"/>
        <s v="PASTE"/>
        <s v="GRANELLE"/>
        <s v="VARIEGATI"/>
        <s v="NOCCIOLE"/>
        <s v="AROMI"/>
        <s v="OLI ESSENZIALI"/>
        <s v="SUCCHI"/>
        <s v="CAFFE'"/>
        <m/>
      </sharedItems>
    </cacheField>
    <cacheField name="Sottofamigli" numFmtId="0">
      <sharedItems containsString="0" containsBlank="1" containsNumber="1" containsInteger="1" minValue="115" maxValue="988" count="25">
        <n v="978"/>
        <n v="216"/>
        <n v="213"/>
        <n v="830"/>
        <n v="199"/>
        <n v="208"/>
        <n v="870"/>
        <n v="873"/>
        <n v="550"/>
        <n v="202"/>
        <n v="800"/>
        <n v="635"/>
        <n v="230"/>
        <n v="309"/>
        <n v="972"/>
        <n v="296"/>
        <n v="745"/>
        <n v="364"/>
        <n v="135"/>
        <n v="379"/>
        <n v="347"/>
        <n v="348"/>
        <n v="988"/>
        <n v="115"/>
        <m/>
      </sharedItems>
    </cacheField>
    <cacheField name="Descrizione sottofam" numFmtId="0">
      <sharedItems containsBlank="1" count="25">
        <s v="SGUSCIATE TOSTATE"/>
        <s v="PISTACCHI"/>
        <s v="MANDORLE"/>
        <s v="PELATE TOSTATE"/>
        <s v="MANDORLE PELATE TOSTATE"/>
        <s v="PISTACCHI SGUSCIATI TOSTAT"/>
        <s v="PISTACCHIO"/>
        <s v="TORRONCINO"/>
        <s v="GIANDUIA"/>
        <s v="MANDORLE SGUCIATE"/>
        <s v="PANETTONE"/>
        <s v="LIMONE"/>
        <s v="CAFFE'"/>
        <s v="PISTACCHI BIO"/>
        <s v="SGUSCIATE"/>
        <s v="GUSCIO"/>
        <s v="NOCCIOLE"/>
        <s v="FRAGOLA CONC. LIMPIDO"/>
        <s v="ARANCIA"/>
        <s v="LIMONE CONC. TORBIDO"/>
        <s v="ARANCE AMARE CONC. TORBIDO"/>
        <s v="ARANCIA CONC. TORBIDO"/>
        <s v="SOLUBILE"/>
        <s v="ARACHIDI"/>
        <m/>
      </sharedItems>
    </cacheField>
    <cacheField name="Famiglia" numFmtId="0">
      <sharedItems containsString="0" containsBlank="1" containsNumber="1" containsInteger="1" minValue="4" maxValue="295" count="11">
        <n v="180"/>
        <n v="125"/>
        <n v="235"/>
        <n v="120"/>
        <n v="4"/>
        <n v="200"/>
        <n v="30"/>
        <n v="215"/>
        <n v="295"/>
        <n v="45"/>
        <m/>
      </sharedItems>
    </cacheField>
    <cacheField name="Gruppo2" numFmtId="0">
      <sharedItems containsString="0" containsBlank="1" containsNumber="1" containsInteger="1" minValue="4" maxValue="6" count="4">
        <n v="5"/>
        <n v="4"/>
        <n v="6"/>
        <m/>
      </sharedItems>
    </cacheField>
    <cacheField name="Desc gr/sgru" numFmtId="0">
      <sharedItems containsBlank="1" count="4">
        <s v="PRODOTTI DI BARTOLO"/>
        <s v="PRODOTTI COMMERCIALIZZATI"/>
        <s v="PRODOTTI MIRITZ"/>
        <m/>
      </sharedItems>
    </cacheField>
    <cacheField name="TIP.PROD." numFmtId="0">
      <sharedItems containsString="0" containsBlank="1" containsNumber="1" containsInteger="1" minValue="1" maxValue="7" count="4">
        <n v="1"/>
        <n v="4"/>
        <n v="7"/>
        <m/>
      </sharedItems>
    </cacheField>
    <cacheField name="Des.inf.stat" numFmtId="0">
      <sharedItems containsBlank="1" count="4">
        <s v="PRODOTTO FINITO"/>
        <s v="SEMILAVORATO"/>
        <s v="MATERIA PRIMA"/>
        <m/>
      </sharedItems>
    </cacheField>
    <cacheField name="Codice vettore" numFmtId="0">
      <sharedItems containsString="0" containsBlank="1" containsNumber="1" containsInteger="1" minValue="1" maxValue="70" count="10">
        <n v="70"/>
        <n v="1"/>
        <n v="2"/>
        <n v="5"/>
        <n v="35"/>
        <n v="45"/>
        <m/>
        <n v="23"/>
        <n v="6"/>
        <n v="10"/>
      </sharedItems>
    </cacheField>
    <cacheField name="Dt. Scad." numFmtId="0">
      <sharedItems containsNonDate="0" containsString="0" containsBlank="1" count="1">
        <m/>
      </sharedItems>
    </cacheField>
    <cacheField name="Num Vs Ord" numFmtId="0">
      <sharedItems containsBlank="1" count="61">
        <s v="OA-25-3199"/>
        <s v="802/OP"/>
        <s v="563/OP"/>
        <s v="EMAIL 11/02/25"/>
        <s v="LCO2501058"/>
        <s v="LCO2501060"/>
        <s v="LCO2501152"/>
        <s v="LCO2501153"/>
        <s v="LCO2501154"/>
        <s v="LCO2501155"/>
        <s v="LCO2501156"/>
        <s v="LCO2501172"/>
        <s v="LCO2501173"/>
        <s v="25005794 OP"/>
        <s v="25OF022681-1"/>
        <s v="25OF025373-1"/>
        <s v="25OF025783-1"/>
        <s v="25OF026395-1"/>
        <s v="25OF026267-1"/>
        <s v="551/OP"/>
        <s v="564/OP"/>
        <s v="568/OP"/>
        <s v="569/OP"/>
        <s v="790/OP"/>
        <s v="P250008306-1"/>
        <s v="4300399501"/>
        <s v="566/OP"/>
        <s v="1527"/>
        <s v="1339"/>
        <s v="1494"/>
        <s v="22255"/>
        <s v="146558"/>
        <s v="37386"/>
        <s v="37499"/>
        <s v="715/OP"/>
        <s v="4500023958"/>
        <s v="4500023959"/>
        <s v="25018959 OP"/>
        <s v="25019906 OP"/>
        <s v="25019904 OP"/>
        <s v="AQ2510588"/>
        <s v="AQ2511028"/>
        <s v="BCF37524"/>
        <s v="BCF37110"/>
        <s v="11211"/>
        <s v="11212"/>
        <s v="4500242896"/>
        <s v="25001705 OC"/>
        <s v="25001706 OC"/>
        <s v="25001711 OC"/>
        <s v="25001710 OC"/>
        <s v="4519042072"/>
        <s v="100687"/>
        <s v="815/OP"/>
        <s v="A 2500364"/>
        <s v="2071431"/>
        <s v="2071432"/>
        <s v="F2513047"/>
        <s v="F2513048"/>
        <s v="F2513126"/>
        <m/>
      </sharedItems>
    </cacheField>
    <cacheField name="Data scadenza Contratto" numFmtId="0">
      <sharedItems containsNonDate="0" containsDate="1" containsString="0" containsBlank="1" minDate="2024-10-31T00:00:00" maxDate="2025-12-20T00:00:00" count="11">
        <d v="2025-11-20T00:00:00"/>
        <m/>
        <d v="2025-11-21T00:00:00"/>
        <d v="2025-11-18T00:00:00"/>
        <d v="2025-11-28T00:00:00"/>
        <d v="2025-11-03T00:00:00"/>
        <d v="2025-12-19T00:00:00"/>
        <d v="2025-11-13T00:00:00"/>
        <d v="2025-09-10T00:00:00"/>
        <d v="2024-10-31T00:00:00"/>
        <d v="2025-10-13T00:00:00"/>
      </sharedItems>
    </cacheField>
    <cacheField name="Estero" numFmtId="0">
      <sharedItems containsBlank="1" count="4">
        <s v="No"/>
        <s v="Sì"/>
        <s v="?"/>
        <m/>
      </sharedItems>
    </cacheField>
    <cacheField name="CAP" numFmtId="0">
      <sharedItems containsString="0" containsBlank="1" containsNumber="1" containsInteger="1" minValue="0" maxValue="1" count="3">
        <n v="1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m Supply" refreshedDate="45979.697335069446" createdVersion="8" refreshedVersion="8" minRefreshableVersion="3" recordCount="96" xr:uid="{00000000-000A-0000-FFFF-FFFF22000000}">
  <cacheSource type="worksheet">
    <worksheetSource ref="A1:AS1048576" sheet="appmerce_db"/>
  </cacheSource>
  <cacheFields count="47">
    <cacheField name="Sel." numFmtId="0">
      <sharedItems containsBlank="1" count="2">
        <s v="S"/>
        <m/>
      </sharedItems>
    </cacheField>
    <cacheField name="Progr." numFmtId="0">
      <sharedItems containsString="0" containsBlank="1" containsNumber="1" containsInteger="1" minValue="1" maxValue="139" count="9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7"/>
        <n v="29"/>
        <n v="31"/>
        <n v="37"/>
        <n v="38"/>
        <n v="39"/>
        <n v="41"/>
        <n v="43"/>
        <n v="45"/>
        <n v="47"/>
        <n v="49"/>
        <n v="51"/>
        <n v="53"/>
        <n v="55"/>
        <n v="57"/>
        <n v="59"/>
        <n v="61"/>
        <n v="63"/>
        <n v="65"/>
        <n v="66"/>
        <n v="67"/>
        <n v="68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9"/>
        <n v="90"/>
        <n v="91"/>
        <n v="92"/>
        <n v="93"/>
        <n v="94"/>
        <n v="95"/>
        <n v="96"/>
        <n v="97"/>
        <n v="98"/>
        <n v="100"/>
        <n v="101"/>
        <n v="102"/>
        <n v="103"/>
        <n v="104"/>
        <n v="105"/>
        <n v="108"/>
        <n v="109"/>
        <n v="117"/>
        <n v="118"/>
        <n v="119"/>
        <n v="120"/>
        <n v="121"/>
        <n v="127"/>
        <n v="128"/>
        <n v="129"/>
        <n v="130"/>
        <n v="131"/>
        <n v="134"/>
        <n v="135"/>
        <n v="137"/>
        <n v="138"/>
        <n v="139"/>
        <m/>
      </sharedItems>
    </cacheField>
    <cacheField name="Nr. ord." numFmtId="0">
      <sharedItems containsString="0" containsBlank="1" containsNumber="1" containsInteger="1" minValue="244" maxValue="830" count="80">
        <n v="557"/>
        <n v="802"/>
        <n v="563"/>
        <n v="244"/>
        <n v="266"/>
        <n v="768"/>
        <n v="770"/>
        <n v="796"/>
        <n v="797"/>
        <n v="798"/>
        <n v="799"/>
        <n v="800"/>
        <n v="813"/>
        <n v="814"/>
        <n v="776"/>
        <n v="777"/>
        <n v="778"/>
        <n v="791"/>
        <n v="792"/>
        <n v="731"/>
        <n v="732"/>
        <n v="784"/>
        <n v="785"/>
        <n v="786"/>
        <n v="795"/>
        <n v="817"/>
        <n v="818"/>
        <n v="819"/>
        <n v="820"/>
        <n v="821"/>
        <n v="822"/>
        <n v="825"/>
        <n v="828"/>
        <n v="829"/>
        <n v="551"/>
        <n v="564"/>
        <n v="568"/>
        <n v="569"/>
        <n v="790"/>
        <n v="787"/>
        <n v="806"/>
        <n v="566"/>
        <n v="801"/>
        <n v="532"/>
        <n v="561"/>
        <n v="779"/>
        <n v="811"/>
        <n v="823"/>
        <n v="699"/>
        <n v="700"/>
        <n v="735"/>
        <n v="789"/>
        <n v="715"/>
        <n v="763"/>
        <n v="764"/>
        <n v="781"/>
        <n v="816"/>
        <n v="826"/>
        <n v="788"/>
        <n v="570"/>
        <n v="793"/>
        <n v="475"/>
        <n v="827"/>
        <n v="830"/>
        <n v="571"/>
        <n v="804"/>
        <n v="805"/>
        <n v="812"/>
        <n v="824"/>
        <n v="808"/>
        <n v="809"/>
        <n v="722"/>
        <n v="815"/>
        <n v="531"/>
        <n v="559"/>
        <n v="560"/>
        <n v="803"/>
        <n v="807"/>
        <n v="810"/>
        <m/>
      </sharedItems>
    </cacheField>
    <cacheField name="Ser." numFmtId="0">
      <sharedItems containsString="0" containsBlank="1" containsNumber="1" containsInteger="1" minValue="0" maxValue="800" count="3">
        <n v="800"/>
        <n v="0"/>
        <m/>
      </sharedItems>
    </cacheField>
    <cacheField name="Data ordine" numFmtId="0">
      <sharedItems containsNonDate="0" containsDate="1" containsString="0" containsBlank="1" minDate="2025-02-25T00:00:00" maxDate="2025-11-19T00:00:00" count="24">
        <d v="2025-11-03T00:00:00"/>
        <d v="2025-11-14T00:00:00"/>
        <d v="2025-11-11T00:00:00"/>
        <d v="2025-02-25T00:00:00"/>
        <d v="2025-02-27T00:00:00"/>
        <d v="2025-10-28T00:00:00"/>
        <d v="2025-11-06T00:00:00"/>
        <d v="2025-09-25T00:00:00"/>
        <d v="2025-11-04T00:00:00"/>
        <d v="2025-11-07T00:00:00"/>
        <d v="2025-11-18T00:00:00"/>
        <d v="2025-10-29T00:00:00"/>
        <d v="2025-11-05T00:00:00"/>
        <d v="2025-11-12T00:00:00"/>
        <d v="2025-10-15T00:00:00"/>
        <d v="2025-08-20T00:00:00"/>
        <d v="2025-09-29T00:00:00"/>
        <d v="2025-09-12T00:00:00"/>
        <d v="2025-10-22T00:00:00"/>
        <d v="2025-10-31T00:00:00"/>
        <d v="2025-11-17T00:00:00"/>
        <d v="2025-09-05T00:00:00"/>
        <d v="2025-09-23T00:00:00"/>
        <m/>
      </sharedItems>
    </cacheField>
    <cacheField name="Cod." numFmtId="0">
      <sharedItems containsString="0" containsBlank="1" containsNumber="1" containsInteger="1" minValue="58" maxValue="2458" count="30">
        <n v="58"/>
        <n v="64"/>
        <n v="113"/>
        <n v="284"/>
        <n v="343"/>
        <n v="363"/>
        <n v="373"/>
        <n v="394"/>
        <n v="419"/>
        <n v="426"/>
        <n v="466"/>
        <n v="475"/>
        <n v="477"/>
        <n v="484"/>
        <n v="492"/>
        <n v="557"/>
        <n v="568"/>
        <n v="606"/>
        <n v="614"/>
        <n v="1126"/>
        <n v="1134"/>
        <n v="1156"/>
        <n v="1210"/>
        <n v="1224"/>
        <n v="1232"/>
        <n v="2382"/>
        <n v="2383"/>
        <n v="2452"/>
        <n v="2458"/>
        <m/>
      </sharedItems>
    </cacheField>
    <cacheField name="Ragione sociale" numFmtId="0">
      <sharedItems containsBlank="1" count="171">
        <s v="ELAH DUFOUR S.P.A."/>
        <s v="BARATTI &amp; MILANO SRL"/>
        <s v="SIGEL GELATI S.R.L."/>
        <s v="LA SUISSA S.R.L."/>
        <s v="ESKIGEL S.R.L."/>
        <s v="SAMMONTANA SPA Società Benefit"/>
        <s v="GLACES DES ALPES"/>
        <s v="C.D.T. TOMARCHIO SRL"/>
        <s v="FASSI ISTITUTO BIOFARMACEUTICO SPA"/>
        <s v="FABBRI 1905 SPA"/>
        <s v="UNIGRA S.p.A"/>
        <s v="HANSENS FLODEIS"/>
        <s v="COMPRITAL SPA"/>
        <s v="POLE SUD"/>
        <s v="FRANCIACORTA CREME S.P.A."/>
        <s v="PRE GEL SPA"/>
        <s v="PAWEL BIELAWSKI CALATABIANO FOOD INGREDIENTS"/>
        <s v="NUTKAO S.R.L."/>
        <s v="FRONERI ICE CREAM DEUTSCHLAND GMBH"/>
        <s v="MENZ&amp;GASSER SPA"/>
        <s v="-18° SAS"/>
        <s v="SN SOPROGLACES"/>
        <s v="LINDT &amp; SPRÜNGLI S.p.A."/>
        <s v="DISARONNO INGREDIENTS S.P.A."/>
        <s v="UNILEVER EUROPE B.V."/>
        <s v="GLACES DE BOURBON"/>
        <s v="GOLOSI DI SALUTE SRL"/>
        <s v="AUSTRALIANSIAN FOOD GROUP TRADING AS ICE PETERS ICE CREAM"/>
        <s v="S.I.P.A. SPA"/>
        <m/>
        <s v="FORNO FOLLADOR  SRL" u="1"/>
        <s v="ILLVA SARONNO SPA" u="1"/>
        <s v="AGRANA FRUIT AUSTRIA GMBH" u="1"/>
        <s v="GUERRA S.P.A." u="1"/>
        <s v="VALSOIA SPA" u="1"/>
        <s v="MARTINUCCI SRL" u="1"/>
        <s v="S.A.S. ROLAND MONTERRAT" u="1"/>
        <s v="COMPANY-INTEGRA  LLC" u="1"/>
        <s v="ALDA DI PROVENZANO SRL" u="1"/>
        <s v="SELVANIA 1971 SRL" u="1"/>
        <s v="DOMORI SPA" u="1"/>
        <s v="SAPORI DI NONNA TINA SRL" u="1"/>
        <s v="FRONERI POLSKA SP. Z O.O." u="1"/>
        <s v="ITALCANDITI S.P.A" u="1"/>
        <s v="FORNO D'ASOLO SPA" u="1"/>
        <s v="LOEENSWISS TRADE &amp; DEVELOPMENT CO" u="1"/>
        <s v="FRONERI IBERIA S.L." u="1"/>
        <s v="DAVIDE CAMPARI MILANO N.V." u="1"/>
        <s v="TONITTO 1939 SPA" u="1"/>
        <s v="PURATOS ITALIA SRL" u="1"/>
        <s v="ITALIANA CONFETTI SRL" u="1"/>
        <s v="JP MANUFACTURERS" u="1"/>
        <s v="CAROZZI FORMAGGI SRL" u="1"/>
        <s v="SAN MARCO GELATI SRL" u="1"/>
        <s v="FRONERI ADRIATIC DOO Stari Banovci" u="1"/>
        <s v="VIGAP SPA" u="1"/>
        <s v="TATO S.R.L." u="1"/>
        <s v="GLOBAL COMMERCE NETWORK INC." u="1"/>
        <s v="CITTA' DEL GELATO SRL" u="1"/>
        <s v="PREMIATA GELATERIA F.LLI MICHIELAN SRL" u="1"/>
        <s v="TEDESCO S.R.L." u="1"/>
        <s v="GIOVI SRLS" u="1"/>
        <s v="I.A.C. INGREDIENTI ALIMENTARI SRL" u="1"/>
        <s v="C.D.T. TOMARCHIO DISTRIBUZIONE Srl" u="1"/>
        <s v="LINEA GEL ITALIANA S.R.L." u="1"/>
        <s v="GLACES DE LYON" u="1"/>
        <s v="DOLGAM DEI F.LLI GANGEMI SRL" u="1"/>
        <s v="FRONERI ITALY S.R.L." u="1"/>
        <s v="MR WHIPPY SAS DI DI PRISCO SALVATORE" u="1"/>
        <s v="DEL DUCA SRL" u="1"/>
        <s v="BISCUIT INTERNATIONAL UK Ltd" u="1"/>
        <s v="FRONERI FRANCE SAS" u="1"/>
        <s v="FRUJO S.A." u="1"/>
        <s v="SAS AU PARRAIN GENEREUX" u="1"/>
        <s v="MAISON BRIEUC" u="1"/>
        <s v="TRIME S.R.O." u="1"/>
        <s v="DICHEM FOODS AEE" u="1"/>
        <s v="MAISON CAFFET" u="1"/>
        <s v="IL GELATAIO DI ZERBATO GIUSEPPE &amp; C. SNC" u="1"/>
        <s v="LUIGI LAVAZZA SPA" u="1"/>
        <s v="CHOC AND CO. NV" u="1"/>
        <s v="ALVENA SRL" u="1"/>
        <s v="F.I.A.D. SRL" u="1"/>
        <s v="DISTILLERIE CAMEL SPA" u="1"/>
        <s v="FARMAXIAL SRL" u="1"/>
        <s v="MARIE MORIN" u="1"/>
        <s v="MADEMOISELLE DESSERTS WAREGEM" u="1"/>
        <s v="ALPE DEL GARDA soc.coop.Agricola" u="1"/>
        <s v="ARTEGEL SRL" u="1"/>
        <s v="EIS ENGELCHEN GMBH" u="1"/>
        <s v="RELANGHE  S.R.L." u="1"/>
        <s v="MEGA SRL" u="1"/>
        <s v="KIRIL MISCHEFF LIMITED" u="1"/>
        <s v="HISTOIRES DE GLACES" u="1"/>
        <s v="FICO ESSERE BUONI SRLS" u="1"/>
        <s v="GIUSO GUIDO SPA CON UNICO SOCIO" u="1"/>
        <s v="PROSSIMA FERMATA SRL" u="1"/>
        <s v="ICE CATERING SRL" u="1"/>
        <s v="MANCUSO VINCENZO &amp; C. S.R.L." u="1"/>
        <s v="GELATERIA MASTRO GELATO" u="1"/>
        <s v="LAPED S.R.L." u="1"/>
        <s v="V.BESANA S.P.A." u="1"/>
        <s v="NORTE-EUROCAO SLU" u="1"/>
        <s v="OLFOOD SRL" u="1"/>
        <s v="TIMPANARO SRL" u="1"/>
        <s v="EDO SPA" u="1"/>
        <s v="LORENZO NASTASI &amp; C." u="1"/>
        <s v="ARTE DOLCE DI LORENZONI STEFANO" u="1"/>
        <s v="LA PAIMPOLAISE CONSERVERIE" u="1"/>
        <s v="OPTIMA S.P.A." u="1"/>
        <s v="GELNOVA S.R.L." u="1"/>
        <s v="MIDI PYRENNEES PATISSERIE" u="1"/>
        <s v="MANUGELATO SA" u="1"/>
        <s v="LA GOLOSA GELATO GMBH" u="1"/>
        <s v="STERILGARDA  ALIMENTI SPA" u="1"/>
        <s v="DISTILLERIA F.LLI CAFFO SRL" u="1"/>
        <s v="PASTIGLIE LEONE SRL" u="1"/>
        <s v="SALPA &amp; CHERUBINI SRL" u="1"/>
        <s v="IMMERGUT GmbH &amp; Co. KG" u="1"/>
        <s v="NACTIS FLAVOURS FRANCE" u="1"/>
        <s v="GROMART S.R.L." u="1"/>
        <s v="VENCHI S.P.A." u="1"/>
        <s v="CAFFAREL SPA" u="1"/>
        <s v="DISTILLERIE MOCCIA" u="1"/>
        <s v="LIEVITIFICIO SANT'EFLORES DI IOZZIA     VINCENZO &amp; C. SAS" u="1"/>
        <s v="THE NUT KITCHEN LLP" u="1"/>
        <s v="PASTRY WORLD SRL" u="1"/>
        <s v="RIBE S.R.L." u="1"/>
        <s v="HANSENS CHOKOLADE APS" u="1"/>
        <s v="THEOBROMA SAS DI CUCCHI GIUSEPPE, F.SCO &amp; C." u="1"/>
        <s v="SAS VERGERS DE CHATEAUBOURG" u="1"/>
        <s v="DI BARTOLO S.R.L." u="1"/>
        <s v="HELAN COSMESI DI LABORATORIO SRL" u="1"/>
        <s v="LAB PRODUZIONE SRL" u="1"/>
        <s v="DESSERT FANTASY RUSSIA" u="1"/>
        <s v="INDUSTRIAL SAN JOSE SAS" u="1"/>
        <s v="ICE CATERING SAS                        DI CRISCUOLO MARIA&amp;C" u="1"/>
        <s v="MANE ITALIA S.R.L." u="1"/>
        <s v="CHOCOLATERIE GUYLIAN N.V." u="1"/>
        <s v="COLLE VICARIO SRL" u="1"/>
        <s v="BRONTE DOLCI SRL" u="1"/>
        <s v="STRAMONDO SRL" u="1"/>
        <s v="COMINTRADE S.r.l." u="1"/>
        <s v="PANIFICIO FOLLADOR di FOLLADOR ANTONIO" u="1"/>
        <s v="FRATELLI BOLLANI SRL" u="1"/>
        <s v="GASTRONOMICA ROSCIO SRL" u="1"/>
        <s v="DREAMFARM SRL SB" u="1"/>
        <s v="UNILEVER ITALY HOLDINGS SRL" u="1"/>
        <s v="ESSENTIAL S.R.L." u="1"/>
        <s v="MANONI PAOLO &amp; C. S.n.c." u="1"/>
        <s v="ULTIMA MATERIA LLC" u="1"/>
        <s v="CANNOLISSIMI &amp; SYDCILY" u="1"/>
        <s v="INTERNATIONAL FOOD SRL" u="1"/>
        <s v="ECKES GRANINI GROUP GMBH" u="1"/>
        <s v="DEMETRA SRL" u="1"/>
        <s v="RICHETTI SPA" u="1"/>
        <s v="A.R. FARM SRL" u="1"/>
        <s v="GIVAUDAN UK" u="1"/>
        <s v="BEDUSCHI HANDMADE CHOCOLATE SRL" u="1"/>
        <s v="DOTT. PAGLIOTTI PIERANGELO" u="1"/>
        <s v="FRIIS-HOLM CHOKOLADE A/S" u="1"/>
        <s v="GU INDULGENT FOODS LTD" u="1"/>
        <s v="ACIES SRL" u="1"/>
        <s v="ECLOR ENTREPRISE" u="1"/>
        <s v="Calconut S.L." u="1"/>
        <s v="BMC SRL" u="1"/>
        <s v="MIRITZ &amp; DI BARTOLO SRL" u="1"/>
        <s v="DIFFUSION FOODS SRL" u="1"/>
        <s v="SAS LA FRAISERAIE" u="1"/>
        <s v="NACTIS FLAVOURS" u="1"/>
        <s v="HELIO S.A." u="1"/>
      </sharedItems>
    </cacheField>
    <cacheField name="Articolo" numFmtId="0">
      <sharedItems containsBlank="1" count="68">
        <s v="MSGTT3436/G21"/>
        <s v="GRPP40224/GP22"/>
        <s v="PMPT2071/P11"/>
        <s v="MPMPT212/CT20"/>
        <s v="MPGRMPT50625SAL/B500"/>
        <s v="MPGRMPT50825SAL/G21"/>
        <s v="MPGRMPT50825SAL/B500"/>
        <s v="GRPM41368/GP22"/>
        <s v="GRPM41368/BSV500"/>
        <s v="GRPSTS51125SAL/G21"/>
        <s v="GRPSTS51125SAL/B500"/>
        <s v="MPGRMPT50625SAL/G21"/>
        <s v="GRPST51225SAL/G21"/>
        <s v="GRPST51225SAL/BSV500"/>
        <s v="PP1012/P10"/>
        <s v="PPAPG2/P10"/>
        <s v="GRPST51125/G23"/>
        <s v="PTRN5953/P10"/>
        <s v="COPP10-1/P10"/>
        <s v="COPG702/IBC1000"/>
        <s v="MPGR241ISCC/G23"/>
        <s v="PP1010/P12"/>
        <s v="MPPA022ISCC/P12"/>
        <s v="PPAPG2/P12"/>
        <s v="GRPST51225/G23"/>
        <s v="GRPSTS51125/G23"/>
        <s v="GRPM50116/GP23"/>
        <s v="GRPP50116/G23"/>
        <s v="PPDOP001/PP2.5"/>
        <s v="MPNOCPT90/CT21"/>
        <s v="PP1070/P11"/>
        <s v="ARPAN001/F10"/>
        <s v="OE.LIM.BIO/F05"/>
        <s v="PC6570/P13"/>
        <s v="PC6570/PP05"/>
        <s v="PLM2086/P31"/>
        <s v="PLM2086/PP1"/>
        <s v="PP2019B/P21"/>
        <s v="PPM3773/P18"/>
        <s v="PPM3773/PP035"/>
        <s v="MSGT3436/G21"/>
        <s v="MSGT3436/G5"/>
        <s v="MTG/G21"/>
        <s v="MTG/G5"/>
        <s v="PP1011/P11"/>
        <s v="GRPAN40846/G21"/>
        <s v="PPAPG2/P11"/>
        <s v="SFRGCL65/BB20"/>
        <s v="OEARAN001/F10"/>
        <s v="PPAPG3/P11"/>
        <s v="PPAPG22/IBC1000"/>
        <s v="SLMNCT40/IBC1000"/>
        <s v="SARAMCT40/BB20"/>
        <s v="SARAMCT40/SP005"/>
        <s v="SARBCT63/F250"/>
        <s v="SARBCT63/SP005"/>
        <s v="CFSD303/CT25"/>
        <s v="MPPNSTD900/P11"/>
        <s v="EDPGD710/P11"/>
        <s v="PPS1391(NEW)/P17"/>
        <s v="MPPARTS704/P11"/>
        <s v="PMPT341/P11"/>
        <s v="PMPT338/P21"/>
        <s v="GRPAP41068/G21"/>
        <s v="PPM4/P11"/>
        <s v="PPAPG4/P11"/>
        <s v="GRPST51225/G21"/>
        <m/>
      </sharedItems>
    </cacheField>
    <cacheField name="Cod. Cliente" numFmtId="0">
      <sharedItems containsBlank="1" count="73">
        <s v="21906/ G21"/>
        <s v="B21924/GP22"/>
        <s v="B21905/P11"/>
        <s v="MPT212/CT20"/>
        <s v="AFR753010/B500"/>
        <s v="AFR753110/G21"/>
        <s v="AFR753110/BSV500"/>
        <s v="AFR753112/GP22"/>
        <s v="AFR753112/BSV500"/>
        <s v="AFR753111/G21"/>
        <s v="AFR753111/B500"/>
        <s v="AFR753010/G21"/>
        <s v="AFR753011/G21"/>
        <s v="AFR753011/BSV500"/>
        <s v="11000084/P10"/>
        <s v="11001335/P10"/>
        <s v="14000105/G23"/>
        <s v="11000062/ P10"/>
        <s v="14003850/P10"/>
        <s v="MPCC245/IBC1000"/>
        <s v="MPGR272/G23"/>
        <s v="MPPA035 /P12"/>
        <s v="MPPA065/P12"/>
        <s v="MPPA034/P12"/>
        <s v="MPGR075/G23"/>
        <s v="MPGR232/G23"/>
        <s v="MPGR276/GP23"/>
        <s v="MPGR284/G23"/>
        <s v="PPDOP001/PP2.5"/>
        <s v="_MP301/CT21"/>
        <s v="PP1070/P11"/>
        <s v="MP10/F10"/>
        <s v="   OE.LIM.BIO"/>
        <s v="0156450/P13"/>
        <s v="0156450/PP05"/>
        <s v="M 5704LMF/P31"/>
        <s v="M5704LMF/PP1"/>
        <s v="PP2019B"/>
        <s v="M1262/P11"/>
        <s v="PF103PCL/P18"/>
        <s v="PF103PCL/PP035"/>
        <s v="MSGT3436/G21"/>
        <s v="MSGT3436/G5"/>
        <s v="MTG/G21"/>
        <s v="MTG/G5"/>
        <s v="ANN00153/G21"/>
        <s v="01913/ P11"/>
        <s v="1085/BB20"/>
        <s v="3352/F10"/>
        <s v="PPAPG1/ P11"/>
        <s v="MP302/IBC1000"/>
        <s v="11004924/P10"/>
        <s v="11005070/IBC1000"/>
        <s v="500042208/BB20"/>
        <s v="500042208/SP005"/>
        <s v="500042201/F250"/>
        <s v="500042201/SP05"/>
        <s v="CFSD303/CT25"/>
        <s v="B0550/P11"/>
        <s v="EDPGD710/P11"/>
        <s v="870026/P17"/>
        <s v="66685"/>
        <s v="M341/P11"/>
        <s v="M338B/P21"/>
        <s v="68832228 /G21"/>
        <s v="68832227/G21"/>
        <s v="PPAPG2/P11"/>
        <s v="1830054/P11"/>
        <s v="1830052/P11"/>
        <s v="60066429/G23"/>
        <s v="032907/G21"/>
        <s v="055503/P11"/>
        <m/>
      </sharedItems>
    </cacheField>
    <cacheField name="Descrizione art. cliente" numFmtId="0">
      <sharedItems containsBlank="1" count="561">
        <s v="MANDORLE SGUSCIATE TOSTATE CAL. 34/36 QUAL. TUONO"/>
        <s v="GRANELLA DI PISTACCHI PRALINATA ARTIG. 407 CAL.2/4"/>
        <s v="PASTA DI MANDORLE PELATE TOSTATE  B21905"/>
        <s v="MANDORLE PELATE TOSTATE CAL. 34/36"/>
        <s v="Granella di Mandorle Pel Tost Sal E Grande"/>
        <s v="Granella di Mandorle Pel. Tostate Salate IT Grande"/>
        <s v="GRANELLA DI MANDORLA SGUSCIATE PRALINATE 6-8 MM"/>
        <s v="Granella di Pistacchi Sg. Tostati Salati IT Grande"/>
        <s v="Granella di Pistacchi Sgusciati Tost Sal E Grande"/>
        <s v="PASTA PISTACCHIO S 11000084"/>
        <s v="PASTA PISTACCHIO U 11001335"/>
        <s v="GRANELLA DI PISTACCHI TOSTATI S 14000105 CAL. 2/4"/>
        <s v="PASTA TORRONCINO SOLUBILE OE"/>
        <s v="SALSA ANIDRA PISTACCHIO"/>
        <s v="VARIEGATO CACAO NOCCIOLE NO LATTE GIRASOLE"/>
        <s v="GRAN MAND PELATE TOST SICILIA 2-4 mm ISCC PLUS-SG"/>
        <s v="PASTA PISTACCHIO SL"/>
        <s v="PASTA DI MANDORLE 100% ISCC PLUS-SG"/>
        <s v="PASTA PISTACCHIO U MPPA034"/>
        <s v="GRANELLA DI PISTACCHIO SL"/>
        <s v="GRANELLA DI PISTACCHI MPGR232 CAL 2/5mm"/>
        <s v="GRANELLA DI MANDORLA PRALINATA SALATA 1-6 MM"/>
        <s v="GRANELLA DI PISTACCHIO PRALINATA SALATA 1-6 MM"/>
        <s v="PIST. PASTE WITH 100% GREEN PISTACHIO FROM BRONTE"/>
        <s v="NOCCIOLE TOSTATE IT CAL. 13/15 MM"/>
        <s v="PASTA PISTACCHIO S"/>
        <s v="AROMA PANETTONE"/>
        <s v="OLIO ESSENZIALE DI LIMONE SICILIA BIOLOGICO"/>
        <s v="CAFFE' PASTA OLEOSA"/>
        <s v="PASTA LATTE DI MANDORLA 200 KG FUSTI"/>
        <s v="PASTA LATTE DI MANDORLA"/>
        <s v="ORGANIC PISTACHIO PASTE"/>
        <s v="PASTA DI MANDORLE PELATE TOSTATE KG. 20"/>
        <s v="PISTACCHIO EXTRA"/>
        <s v="MANDORLE TUONO SGUSCIATE CAL. 34/36"/>
        <s v="MANDORLE TUONO IN GUSCIO"/>
        <s v="PISTACHIO PASTE S ( Italy/Sicily)"/>
        <s v="CHOPPED HAZELNUT SUGAR COATED"/>
        <s v="PASTA PISTACCHIO MEDITERRANEA"/>
        <s v="SUCCO DI FRAGOLA CONCENTRATO LIMPIDO 65 BX"/>
        <s v="OLIO ESSENZIALE DI ARANCIA DOLCE SICILIA OEARAN001"/>
        <s v="PISTACHIO PASTE U"/>
        <s v="PASTA DI PISTACCHIO"/>
        <s v="LEMON JUICE CONCENTRATED CLOUDY 40° BRIX"/>
        <s v="ARANCIA AMARA SUCCO CONC. TORBIDO 40 Bx-SICILIA"/>
        <s v="SUCCO DI ARANCIA CONCENTRATO TORBIDO 63° BRIX"/>
        <s v="SUCCO DI ARANCIA CONCENTRATO TORBIDO 63 °BX"/>
        <s v="INSTANT COFFEE SPRAY DRIED 303"/>
        <s v="DARK ROASTED HAZELNUT PASTE"/>
        <s v="SWEET GIANDUIOTTO PASTE"/>
        <s v="PAST INS C PIST SICILIA"/>
        <s v="PASTA DI ARACHIDI TOSTATE SALATE"/>
        <s v="PASTA MANDORLA PRIMA BARI"/>
        <s v="PASTA MANDORLA MEDITERRANEO CHIARA"/>
        <s v="SUGARED PISTACHIO GRAIN 6-8 MM GROM 050082"/>
        <s v="SUGARED HAZELNUT GRAIN 4-6 MM GROM 050068"/>
        <s v="PASTA PISTACCHIO SPAGNA"/>
        <s v="PASTA PISTACCHIO CALIFORNIA"/>
        <s v="Pistachio Diced 2-4mm T 20kg"/>
        <s v="GRANELLA DI PISTACCHIO"/>
        <s v="PASTA PISTACCHIO PURA ESTERA S"/>
        <m/>
        <s v="PASTA DI MANDORLE PELATE TOSTATE S 063800" u="1"/>
        <s v="OLIO ESSENZIALE DI ARANCIA DOLCE" u="1"/>
        <s v="OLIO ESSENZIALE DI LIMONE" u="1"/>
        <s v="SUCCO DI LIMONE NATURALE SURGELATO BIOLOGICO" u="1"/>
        <s v="ROASTED PISTACHIO FLAVOUR IS" u="1"/>
        <s v="GRANELLA PISTACCHI SGUSCIATI TOST. 512 CAL 2/5mm" u="1"/>
        <s v="AROMA LATTE DI MANDORLA ARLM1" u="1"/>
        <s v="AROMA DI PISTACCHIO" u="1"/>
        <s v="CANDIED ORANGE PEEL 6X6" u="1"/>
        <s v="CLOUDY LEMON JUICE CONCENTRATED 48° BRIX" u="1"/>
        <s v="CLEAR LIME JUICE CONCENTRATED 56° BRIX" u="1"/>
        <s v="CLOUDY PINEAPPLE JUICE CONCENTRATED 65° BRIX" u="1"/>
        <s v="FROZEN CLOUDY ORANGE JUICE CONCENTRATED 60 °BRIX" u="1"/>
        <s v="SUCCO DI ARANCIA DOLCE LIMPIDO DEPECT. 1X7" u="1"/>
        <s v="SUCCO DI LIMONE LIMPIDO DEPEC. 1X7" u="1"/>
        <s v="PASTA PISTACCHIO UFV" u="1"/>
        <s v="AROMA DI ARANCE ATOMIZZATO" u="1"/>
        <s v="SUCCO DI LIMONE NATURALE CONGELATO S" u="1"/>
        <s v="SUCCO DI LIMONE CONCENTRATO TORBIDO 40° BRIX" u="1"/>
        <s v="LEMON JUICE CLOUDY CONCENTRATED 40° BRIX" u="1"/>
        <s v="COFFEE PASTE" u="1"/>
        <s v="HAZELNUT PASTE" u="1"/>
        <s v="MANDORLA PELATA AFFETTATA TOSTATA" u="1"/>
        <s v="PASTA PISTACCHIO MEDITERRANEO SK" u="1"/>
        <s v="PATE DE PISTACHE 100%" u="1"/>
        <s v="ZUMO CONC NARANJA 65 °BRIX" u="1"/>
        <s v="ZUMO CONC NARANJA 65° BRIX" u="1"/>
        <s v="SUCCO DI ARANCIA ROSSA LIMPIDO DEPECTINIZZATO 65°" u="1"/>
        <s v="MANDORLA GRANELLA 2/4 mm" u="1"/>
        <s v="PASTA PISTACCHIO GENERICO" u="1"/>
        <s v="GRANELLA DI PISTACCHIO S CAL. 2/4 mm 010723" u="1"/>
        <s v="PASTA PISTACCHIO MEDITERRANEO" u="1"/>
        <s v="GRANELLA DI PISTACCHI PRAL.ART. SALATA U CAL.1/6MM" u="1"/>
        <s v="SUCCO DI LIMONE SICILIA CONCENTRATO TORBIDO 32 °BX" u="1"/>
        <s v="SUCCO DI LIMONE CONCENTRATO FRESCO" u="1"/>
        <s v="SUCCO DI ARANCIA TORBIDO FRESCO 60 °BX" u="1"/>
        <s v="ESSENZA DI MANDARINO" u="1"/>
        <s v="ESSENZA DI POMPELMO ROSA" u="1"/>
        <s v="ESSENZA DI ARANCIA AMARA" u="1"/>
        <s v="SUCCO DI MANDARINO CONCENTRATO FRESCO 60°BX" u="1"/>
        <s v="SUCCO DI LIMONE CONCENTRATO TORBIDO 48 °BRIX" u="1"/>
        <s v="SUCCO DI ARANCIA CONCENTRATO TORBIDO 65 °BRIX" u="1"/>
        <s v="SUCCO DI ARANCIA CONCENTRATO TORBIDO 65° BRIX" u="1"/>
        <s v="VARIEGATO CACAO NOCCIOLA LK" u="1"/>
        <s v="PASTA PISTACCHIO S  010764" u="1"/>
        <s v="PASTA DI PISTACCHIO UST" u="1"/>
        <s v="PISTACHIO PASTE U4" u="1"/>
        <s v="PASTA DI NOCCIOLA SCURA" u="1"/>
        <s v="PASTA PISTACCHIO E" u="1"/>
        <s v="NATURAL PISTACHIO FLAVOUR" u="1"/>
        <s v="GRANELLA DI MANDORLE SGUSCIATE PRALINATE CAL 6/8MM" u="1"/>
        <s v="MPPA035-PASTA PISTACCHIO SL ITALIA" u="1"/>
        <s v="CUBETTI ARANCIA CANDITI 4X4" u="1"/>
        <s v="VARIEGATO ANIDRO AL PISTACCHIO S11-3" u="1"/>
        <s v="SUCCO POMPELMO ROSA LIMPIDO 65° BX" u="1"/>
        <s v="GRANELLA DI PISTACCHIO PRALINATA SALATA CAL 4/6 MM" u="1"/>
        <s v="PISTACHIO PASTE" u="1"/>
        <s v="PISTACHIO SPREAD VEGAN" u="1"/>
        <s v="CAFFE' SOLUBILE SPRAY DRIED 312" u="1"/>
        <s v="PASTA PISTACCHIO M." u="1"/>
        <s v="AROMA MANDORLA TOSTATA ARMT4926 KOSHER" u="1"/>
        <s v="ORGANIC FROZEN NATURAL LEMON JUICE" u="1"/>
        <s v="GREEN ROASTED PISTACCHIO PASTE EXTRA" u="1"/>
        <s v="ROASTED PISTACHIO PASTE EXTRA" u="1"/>
        <s v="VEGAN SPREAD WITH COCOA AND HAZELNUT N13" u="1"/>
        <s v="CANDIED ORANGE PEEL 10X10" u="1"/>
        <s v="GRANELLA PISTACCHIO CARAMELLATO" u="1"/>
        <s v="PASTA LATTE DI MANDORLE MPRSML0025" u="1"/>
        <s v="ORANGE JUICE CONCENTRATE 10330" u="1"/>
        <s v="SUCCO DI MANDARINO CONCENTRATO TORBIDO 63 °BRIX" u="1"/>
        <s v="VARIEGATO ANIDRO VEGANO AL PISTACCHIO S11-3" u="1"/>
        <s v="PASTA PISTACCHIO M" u="1"/>
        <s v="GRANELLA DI PISTACCHIO PRAL.VERDE 403 CAL. 1/6 MM" u="1"/>
        <s v="CREMA PISTACCHIO VEGAN BPCRMAPV26" u="1"/>
        <s v="PASTA CAFFE' BC" u="1"/>
        <s v="GRANELLA DI PISTACCHIO PRALINATA VERDE" u="1"/>
        <s v="PASTA DI MANDORLA PURA (S/AROMI E TOST.LEGGERA)" u="1"/>
        <s v="MORCEAUX DE NOISETTES PRALINES CAL.3/4 MM" u="1"/>
        <s v="AROMA PISTACCHI TOSTATI" u="1"/>
        <s v="PASTA DI PISTACCHIO CREMINO" u="1"/>
        <s v="PASTA NOCCIOLA CHIARA" u="1"/>
        <s v="SUCCO DI LIMONE CONCENTRATO LIMPIDO 40 °BRIX" u="1"/>
        <s v="GRANELLA PISTACCHI SICILIA 3/5 mm" u="1"/>
        <s v="ANHYDROUS PISTACHIO PREP 35%" u="1"/>
        <s v="COPERTURA PISTACCHIO NO LATTE CP335F" u="1"/>
        <s v="OLIO ESSENZIALE DI LIME" u="1"/>
        <s v="OLIO ESSENZIALE DI ARANCIA AMARA" u="1"/>
        <s v="AROMA BRIOCHE" u="1"/>
        <s v="GRANELLA DI PISTACCHIO PRALINATA 402 CAL. 1/6 MM" u="1"/>
        <s v="SICILIAN ORANGE CANDIED PASTE" u="1"/>
        <s v="CREMOSA PISTACCHIO" u="1"/>
        <s v="PASTA PISTACCHIO PURO SICILIA" u="1"/>
        <s v="PINOLI TOSTATI" u="1"/>
        <s v="PASTA PINOLI E ANACARDI" u="1"/>
        <s v="SWEET ORANGE ESSENTIAL OIL" u="1"/>
        <s v="LIME ESSENTIAL OIL" u="1"/>
        <s v="LEMON ESSENTIAL OIL" u="1"/>
        <s v="GRAPEFRUIT ESSENTIAL OIL" u="1"/>
        <s v="ar. Citron (Lemon Oil) 25 kg" u="1"/>
        <s v="PISTACHIO PASTE S" u="1"/>
        <s v="LIGHT ROASTED HAZELNUT PASTE" u="1"/>
        <s v="CHOPPED ALMOND SUGAR COATED 401 - 1/6 MM" u="1"/>
        <s v="BLANCHED AND ROASTED ALMOND PASTE S" u="1"/>
        <s v="ALMOND MILK PASTE" u="1"/>
        <s v="PASTA DI MANDORLE PELATE TOSTATE DEL VAL DI NOTO" u="1"/>
        <s v="ORGANIC FROZEN LEMON JUICE" u="1"/>
        <s v="BLOOD ORANGE ESSENTIAL OIL" u="1"/>
        <s v="PATE DE NOISETTES FONCEE AMS0038" u="1"/>
        <s v="PASTA LATTE DI MANDORLA DEL VAL DI NOTO" u="1"/>
        <s v="ARANCIA OLIO ESSENZIALE" u="1"/>
        <s v="SUCCO LIMONE (K)" u="1"/>
        <s v="PATE DE PISTACHE AMS0039" u="1"/>
        <s v="MORCEAUX DE PISTACHE DE SICILE" u="1"/>
        <s v="PISTACHIO PASTE PRALINE PP.PR1" u="1"/>
        <s v="PIECES DE PISTACHE - PISTACHIO CROCANT STD" u="1"/>
        <s v="AROMA NATURALE DI PISTACCHIO" u="1"/>
        <s v="OLIO ESSENZIALE DI BERGAMOTTO" u="1"/>
        <s v="PROTEINE DI MANDORLA" u="1"/>
        <s v="PPAPG2 - PISTACHIO PASTE U" u="1"/>
        <s v="BLANCHED AND ROASTED ALMOND PASTE E" u="1"/>
        <s v="PASTA PISTACCHIO PPAPG23" u="1"/>
        <s v="CAFFE' SOLUBILE SPRAY DRIED AB 11000058" u="1"/>
        <s v="MORCEAUX DE PISTACHES NATURELLES GRILLEES 51225" u="1"/>
        <s v="PASTA PISTACCHIO U" u="1"/>
        <s v="PASTA DI MANDORLE PELATE TOSTATE U" u="1"/>
        <s v="PASTA DI NOCCIOLE CHIARA" u="1"/>
        <s v="PASTA DI MANDORLE SGUSCIATE TOSTATE S" u="1"/>
        <s v="PASTA DI MANDORLE PELATE TOSTATE" u="1"/>
        <s v="PASTA DI MANDORLE PELATE 83004514" u="1"/>
        <s v="PASTA PISTACHIO/PATE DE PISTACHE" u="1"/>
        <s v="HUILE ESSENTIELLE D'ORANGE" u="1"/>
        <s v="MANDORLE SGUSCIATE TOSTATE SPAGNA CAL. 34/36" u="1"/>
        <s v="CREMA PISTACCHIO COPP105-3" u="1"/>
        <s v="ORGANIC CHOPPED PISTACHIO SUGAR COATED" u="1"/>
        <s v="ROASTED PISTACHIOS FLAVOUR" u="1"/>
        <s v="GRANELLA DI PISTACCHI TOSTATI U 14000865 CAL. 2/4" u="1"/>
        <s v="PASTA PISTACCHIO UST" u="1"/>
        <s v="GRAN MAND SICILIA PRAL SALATA 1-6 mm ISCC PLUS-SG" u="1"/>
        <s v="GRANELLA MANDORLA SICILIA PRALINATA SALATA 1-6MM" u="1"/>
        <s v="MORCEAUX DE NOISETTES PRALINES CAL. 2/5MM" u="1"/>
        <s v="OLIO ESSENZIALE DI ARANCIA SICILIA" u="1"/>
        <s v="OLIO ESSENZIALE DI LIMONE SICILIA" u="1"/>
        <s v="PATE DE NOISETTES CLAIR" u="1"/>
        <s v="PATE DE NOISETTES FONCEE" u="1"/>
        <s v="MANDORLE TUONO SGUSCIATE TOSTATE CAL. 34/36" u="1"/>
        <s v="VARIEGATO ANIDRO CACAO E NOCCIOLA LK" u="1"/>
        <s v="VARIEGATO ANIDRO MOCACCINO EXTRA IBC1000KG" u="1"/>
        <s v="SUCCO ATOMIZZATO DI ARANCIO TORBIDO" u="1"/>
        <s v="SUCCO DI LIMONE SICILIA CONCENTRATO TORBIDO 32° BX" u="1"/>
        <s v="CUBETTI DI ARANCIA CANDITI 4" u="1"/>
        <s v="GRANELLA DI MANDORLE PRALINATA 401 CAL. 1/6 MM" u="1"/>
        <s v="ORGANIC CHOPPED HAZELNUTS SUGAR COATED" u="1"/>
        <s v="ORGANIC CHOPPED ALMONDS SUGAR COATED" u="1"/>
        <s v="ORGANIC DARK ROASTED HAZELNUT PASTE" u="1"/>
        <s v="ORGANIC ROASTED HAZELNUTS" u="1"/>
        <s v="ORGANIC ESSENTIAL SICILIAN ORANGE OIL" u="1"/>
        <s v="GRAN. GREZZA CIOC 100%  CIOCCOLATO DI MODICA IGP" u="1"/>
        <s v="AROMA PISTACCHIO AR.PIS001" u="1"/>
        <s v="Variegato Anidro al  Cioccolato di Modica IGP" u="1"/>
        <s v="JUS DE CITRON SICILE SURG" u="1"/>
        <s v="SUCCO DI ARANCE ROSSE CONCENTRATO 60° BX" u="1"/>
        <s v="CHOPPED AND ROASTED PISTACHIOS U 14000865 CAL. 2/4" u="1"/>
        <s v="FARINA DI MANDORLE PELATE S" u="1"/>
        <s v="FARINA DI PISTACCHI SGUSCIATI TOSTAT" u="1"/>
        <s v="GRANELLA DI PISTACCHI SGUSCIATI TOST. U CAL. 2/5mm" u="1"/>
        <s v="PASTA DI MANDORLE PELATE TOSTATE M" u="1"/>
        <s v="GRANELLA DI NOCCIOLE TOSTATE 51024" u="1"/>
        <s v="GRANELLA DI PISTACCHIO U CAL. 2/5 mm" u="1"/>
        <s v="SUCCO DI LIMONE S CONC. TORBIDO 40° BRIX 11000097" u="1"/>
        <s v="PISTACCHIO IDROSOLUBILE ARPIS" u="1"/>
        <s v="PASTA PISTACCHIO VERDE PPAPG11" u="1"/>
        <s v="VARIEGATO ANIDRO CACAO NOCCIOLA LOACKER NA13" u="1"/>
        <s v="GRANELLA DI MANDORLE PRALINATA ARTIGIANALE 40956" u="1"/>
        <s v="GRANELLA DI NOCCIOLE PRALINATA ARTIGIANALE CAL.6/8" u="1"/>
        <s v="FILETTI DI ARANCIA CANDITI 6X6X60" u="1"/>
        <s v="CHOPPED AND ROASTED PISTACHIO U 512 - 1/6 MM" u="1"/>
        <s v="AROMA MANDORLA NATURALE ARNM4541" u="1"/>
        <s v="LATTE DI MANDORLA  AVOLA  IN PASTA" u="1"/>
        <s v="GRANELLA DI MANDORLE PMV CAL.3/4 MM." u="1"/>
        <s v="PISTACCHIO SGUSCIATO SICILIA" u="1"/>
        <s v="PASTA DI NOCCIOLE SCURA" u="1"/>
        <s v="VARIEGATO VEGANO AL PISTACCHIO COPP10" u="1"/>
        <s v="11004335 CAFFE' SOLUBILE RFASG" u="1"/>
        <s v="SUCCO DI ARANCIA S CONC. TORBIDO 60° BRIX 11000088" u="1"/>
        <s v="PASTA MANDORLA PELATA CRUDA" u="1"/>
        <s v="SUCCO CONCENTRATO LIMONE 40" u="1"/>
        <s v="PASTA CAFFE', CERTIFICATA RFASG" u="1"/>
        <s v="AROMA MANDORLA NATURALE" u="1"/>
        <s v="PASTA PISTACCHIO VERDE PPMV19" u="1"/>
        <s v="SICILIAN ORANGE CUBES 4X4 mm 20 KGS" u="1"/>
        <s v="PASTA DI MANDORLE SGUSCIATE TOSTATE M" u="1"/>
        <s v="MANDORLE PRALINATE CALIBRO 34/36" u="1"/>
        <s v="GRANELLA MANDORLA AVOLA 1-5mm" u="1"/>
        <s v="PATE DE PISTACHE 0PIST002" u="1"/>
        <s v="PATE DE NOISETTES FONCEE ONOIS001" u="1"/>
        <s v="BRISURES DE PISTACHE 0PIST001" u="1"/>
        <s v="CREMA ANIDRA PISTACCHIO COPP104" u="1"/>
        <s v="OLIO ESSENZIALE DI POMPELMO ROSA" u="1"/>
        <s v="SALSA ANIDRA NOCCIOLA" u="1"/>
        <s v="PASTA PISTACCHIO PRALINATA" u="1"/>
        <s v="PASTA MANDORLA AVOLA TOSTATA GOLD" u="1"/>
        <s v="GRANELLA MANDORLE PELATE TOSTATE CAL. 3/4 MM" u="1"/>
        <s v="PASTA DI MANDORLE 100%" u="1"/>
        <s v="CHOPPED HAZELNUT SUGAR COATED 400 - 1/6 mm" u="1"/>
        <s v="GRANELLA DI MANDORLE PELATE TOSTATE Cal. 3/5 mm" u="1"/>
        <s v="FARINA DI MANDORLE DI AVOLA PELATE" u="1"/>
        <s v="MANDORLE SICILIA PELATE 34/36" u="1"/>
        <s v="MANDARLE SICILIA PELATE 34/36" u="1"/>
        <s v="PASTA DI MANDORLE PELATE TOSTATE E" u="1"/>
        <s v="ROASTED PISTACHIO PASTE" u="1"/>
        <s v="VEGAN CRUNCHY PISTACHIO RIPPLE" u="1"/>
        <s v="SUCCO DI LIMONE S CONC.TORBIDO 40° BRIX 11000097" u="1"/>
        <s v="PASTA LATTE DI MANDORLA M" u="1"/>
        <s v="PASTA LATTE DI MANDORLA AVOLA" u="1"/>
        <s v="PASTA ANACARDI DISIDRATATI" u="1"/>
        <s v="PASTA ANACARDI TOSTATI" u="1"/>
        <s v="SUCCO DI ANANAS CONC. TORBIDO 65°   BRIX 11000092" u="1"/>
        <s v="SUCCO DI LIMONE CONCENTRATO LIMPIDO 48° BRIX" u="1"/>
        <s v="PASTA PISTACCHIO MV" u="1"/>
        <s v="GRANELLA DI PISTACCHI SGUSCIATI TOST. U CAL. 2-5mm" u="1"/>
        <s v="GRANELLA DI PISTACCHI DISIDRATATI U Cal 2/5mm" u="1"/>
        <s v="ROASTED CASHEW PASTE" u="1"/>
        <s v="ALMOND PASTE" u="1"/>
        <s v="ALMOND MILK PASTE T" u="1"/>
        <s v="PASTA CAFFE' OG 11000052" u="1"/>
        <s v="PASTA PISTACCHIO S - M 5808" u="1"/>
        <s v="PASTA PISTACCHIO M TOSTATO RAFFINATO" u="1"/>
        <s v="OLIO ESSENZIALE DI ARANCIA" u="1"/>
        <s v="GRANELLA PISTACCHIO PRALINATA SALATA 2/4 MM" u="1"/>
        <s v="PASTA DI MANDORLE AVOLA" u="1"/>
        <s v="PASTA ANACARDI 060820" u="1"/>
        <s v="PASTA DI NOCCIOLE TOSTATE" u="1"/>
        <s v="PISTACHIO PASTE MU" u="1"/>
        <s v="SUCCO NATURALE LIMONE FRZ SL" u="1"/>
        <s v="OLIO ESSENZIALE DI MANDARINO" u="1"/>
        <s v="PASTA CAFFE SENZA COLORANTI" u="1"/>
        <s v="GRANELLA PISTACCHIO CARAMELLATO FDA" u="1"/>
        <s v="SUCCO DI LIMONE CONCENTRATO TORBIDO 40° BX" u="1"/>
        <s v="PASTA LATTE DI MANDORLA VAL DI NOTO" u="1"/>
        <s v="AVOLA ALMOND PASTE 50% FAT H K" u="1"/>
        <s v="AVOLA ALMOND FLOUR H K" u="1"/>
        <s v="SUCCO DI LIMONE CONCENTRATO LIMPIDO 48 °BRIX" u="1"/>
        <s v="VARIEGATO ANIDRO AL CIOCCOLATO DI MODICA IGP" u="1"/>
        <s v="VARIEGATO VEGANO NOCCIOLA KB15" u="1"/>
        <s v="PASTA PISTACCHIO MPPA035" u="1"/>
        <s v="PASTA DI MANDORLA PURA  ESTERA  KG. 20" u="1"/>
        <s v="MANDARIN ESSENTIAL OIL" u="1"/>
        <s v="PINK GRAPEFRUIT ESSENTIAL OIL" u="1"/>
        <s v="ORANGE JAM" u="1"/>
        <s v="LEMON JAM" u="1"/>
        <s v="MANDARIN JAM" u="1"/>
        <s v="CLOUDY LEMON JUICE CONCENTRATED 40° BRIX" u="1"/>
        <s v="CLOUDY ORANGE JUICE CONCENTRATED 60° BRIX" u="1"/>
        <s v="CLOUDY MANDARIN CONCENTRATED JUICE 60° BRIX" u="1"/>
        <s v="CLOUDY GRAPEFRUIT JUICE CONCENTRATED 65° BRIX" u="1"/>
        <s v="CLOUDY PINK GRAPEFRUIT JUICE CONCENTRATED 65° BRIX" u="1"/>
        <s v="CLOUDY LIME JUICE CONCENTRATED 48° BRIX" u="1"/>
        <s v="CONCENTRATED CLOUDY PRICKLY PEAR JUICE 65° BX" u="1"/>
        <s v="GRANELLA DI PISTACCHI SICILIA SGUSCIATI CAL. 2/5 M" u="1"/>
        <s v="SUCCO DI LIMONE CONCENTRATO TORBIDO 48° BRIX" u="1"/>
        <s v="GRANELLA DI MANDORLE SG TOST AVOLA 509 CAL 1/5 mm" u="1"/>
        <s v="SUCCO DI ARANCIA CONCENTRATO TORBIDO 60° BRIX BIO" u="1"/>
        <s v="CLARIFIED LEMON JUICE CONCENTRATED 58° BRIX" u="1"/>
        <s v="GRANELLA MANDORLE CARAMELLATA" u="1"/>
        <s v="PASTA DI MANDORLA AVOLA PREMIUM" u="1"/>
        <s v="SUCCO DI ARANCIA CONCENTRATO TORBIDO 60° BRIX" u="1"/>
        <s v="SUCCO DI MANDARINO LIMPIDO DEPEC. CONCENTRATO 70°" u="1"/>
        <s v="SHELLED AND ROASTED CALIFORNIAN PISTACHIOS" u="1"/>
        <s v="PISTACHIO PASTE MV" u="1"/>
        <s v="PASTA DI MANDORLE PELATE TOSTATE T" u="1"/>
        <s v="HAZELNUT PASTE PRALINE'" u="1"/>
        <s v="CANDIED ORANGE FILLETS 6X6X60" u="1"/>
        <s v="PISTACHIO SPREAD 12S" u="1"/>
        <s v="COFFEE PASTE BC" u="1"/>
        <s v="COCCO RAPE'" u="1"/>
        <s v="OLIO ESSENZIALE DI ARANCIA SICILIA  BIOLOGICO" u="1"/>
        <s v="AROMA NOCCIOLE TOSTATE" u="1"/>
        <s v="PASTA LATTE DI MANDORLA 200 KG FUSTI M  5704LM" u="1"/>
        <s v="MANDORLE AMARE SICILIA PELATE" u="1"/>
        <s v="FARINA DI PISTACCHIO" u="1"/>
        <s v="SUCCO DI MANDARINO CONCENTRATO TORBIDO 50° BRIX" u="1"/>
        <s v="PASTA DI MANDORLE PELATE TOSTATE 40% M / 60% U" u="1"/>
        <s v="PASTA PISTACCHIO" u="1"/>
        <s v="COPERTURA CACAO SPRY NO LATTE" u="1"/>
        <s v="MORCEAUX DE PISTACHES NATURELLES GRILL. CAL 3/4 MM" u="1"/>
        <s v="VARIEGATO ANIDRO MOCACCINO" u="1"/>
        <s v="SUCCO DI LIMONE CONCENTRATO TORBIDO 32° BRIX" u="1"/>
        <s v="GIANDUIA SPREAD VEGAN" u="1"/>
        <s v="SALTED CHOPPED PISTACHIO SUGAR COATED CAL. 4/6 MM" u="1"/>
        <s v="OLIO ESSENZIALE CEDRO" u="1"/>
        <s v="ALMOND NOUGAT PASTE" u="1"/>
        <s v="FARINA DI PISTACCHIO PRALINATA" u="1"/>
        <s v="PASTA DI MANDORLE CRUDA CALIFORNIA KOSHER" u="1"/>
        <s v="PASTA DI MANDORLE PELATE TOSTATE S" u="1"/>
        <s v="PASTA DI MANDORLE TOSTATE 60/40 KOSHER" u="1"/>
        <s v="PISTACCHIO SGUSCIATO DISIDRATATO U" u="1"/>
        <s v="HAZELNUT SPREAD VEGAN" u="1"/>
        <s v="PREP. SUCCO LIME/LIMONE TORBIDO 49 °BRIX" u="1"/>
        <s v="OLIO ESSENZIALE DI CEDRO" u="1"/>
        <s v="PASTA LATTE DI MANDORLE SICILIA" u="1"/>
        <s v="PASTA DI MANDORLE AMARE PELATE" u="1"/>
        <s v="OLIO ESSENZIALE DI ARANCIA ROSSA" u="1"/>
        <s v="CHOPPED LIGHT ROASTED PISTACHIOS U 512 - 2/5 MM" u="1"/>
        <s v="CANDITI MACEDONIA 6X6 SICILIA" u="1"/>
        <s v="PASTA TORRONCINO CROCCANTE 14000104" u="1"/>
        <s v="SUCCO CONCENTRATO DI ARANCIA 60° BRIX FROZEN" u="1"/>
        <s v="SUCCO DI ARANCIA DEPECTINIZZATO" u="1"/>
        <s v="CREMA PISTACCHIO VEGAN" u="1"/>
        <s v="PISTACCHIO VERDE SICILIA 043088" u="1"/>
        <s v="OLIO ESSENZIALE DI ARANCIA DOLCE SICILIA" u="1"/>
        <s v="OLIO ESSENZIALE DI LIMETTA MEXICANA" u="1"/>
        <s v="GIANDUIA SPREAD" u="1"/>
        <s v="SICILIAN LEMON ESSENTIAL OIL" u="1"/>
        <s v="SICILIAN MANDARIN ESSENTIAL OIL" u="1"/>
        <s v="RED ORANGE SICILIAN ESSENTIAL OIL" u="1"/>
        <s v="PASTA PISTACCHIO SICILIA C. CLOROFILLA" u="1"/>
        <s v="OLIO ESSENZIALE DI MANDARINO SICILIA" u="1"/>
        <s v="PASTA DI MANDORLA AMARA" u="1"/>
        <s v="CLOUDY ORANGE JUICE CONCENTRATED 60 °BRIX" u="1"/>
        <s v="OLIO ESSENZIALE DI LIMONE SICILIA 10 V. CONC. DET." u="1"/>
        <s v="OLIO ESSENZIALE DI ARANCIA DOLCE SICILIA 10 V. CON" u="1"/>
        <s v="AROMA DI MANDORLA DOLCE" u="1"/>
        <s v="PASTA TORRONCINO" u="1"/>
        <s v="PASTA PISTACCHIO MEDITERRANEO SKVAR" u="1"/>
        <s v="PISTACCHIO SICILIA VERDE 043088" u="1"/>
        <s v="ORGANIC SHELLED ALMONDS CAL. 34/36" u="1"/>
        <s v="SUCCO DI CILIEGIA DI PUGLIA CONC. LIMPIDO 65° BX" u="1"/>
        <s v="SUCCO DI MIRTILLI PIEMONTE CONC. LIMPIDO 65° BX" u="1"/>
        <s v="SUCCO DI LAMPONE PIEMONTE CONC. LIMPIDO 65° BX" u="1"/>
        <s v="GRANELLA DI MANDORLE PELATE 50324 BIOLOGICA" u="1"/>
        <s v="SUCCO DI ARANCIA ROSSA CONCENTRATO TORBIDO 60° BX" u="1"/>
        <s v="GRANELLA TOSTATA SALATA PISTACCHIO 2-3MM" u="1"/>
        <s v="PASTA DI ARACHIDI TOSTATE" u="1"/>
        <s v="GRANELLA PIST. PRAL. VERDE CAL.3/4" u="1"/>
        <s v="GRANELLA DI PISTACCHIO PRALINATA 439 S CAL. 1/6 MM" u="1"/>
        <s v="JUS DE CITRON SICILIE NATUREL SURGELEE" u="1"/>
        <s v="SUCCO CONCENTRATO LIMP. PESCA" u="1"/>
        <s v="SUCCO CONCENTRATO LIMP. FRAGOLA" u="1"/>
        <s v="MANDORLE PELATE TOSTATE SPAGNA CA. 34/36" u="1"/>
        <s v="SUCCO DI LIMONE DEPECTINIZZATO" u="1"/>
        <s v="PASTA CAFFE', CERTIFICATA RFA" u="1"/>
        <s v="GRANELLA DI NOCCIOLE PRALINATA 400 CAL. 1/6 MM" u="1"/>
        <s v="GRANELLA DI PISTACCHI SGUSC. TOST. U CAL. 2/5 mm" u="1"/>
        <s v="SUCCO DI POMPELMO ROSA" u="1"/>
        <s v="AROMA NATURALE PISTACCHIO ARNPIS001" u="1"/>
        <s v="SUCCO DI FRAGOLA CONCENTRATO TORBIDO 65° BRIX" u="1"/>
        <s v="CLOUDY BLOOD ORANGE JUICE CONCENTRATED 60 °BRIX" u="1"/>
        <s v="CHOPPED ALMONDS SUGAR COATED" u="1"/>
        <s v="CANDIED ORANGE STRIPES 6X6X60" u="1"/>
        <s v="OLIO ESSENZIALE DI MANDARINO GIALLO BIOLOGICO" u="1"/>
        <s v="GRANELLA DI NOCCIOLE ARTIGIANALE 408 CAL. 1/6 mm" u="1"/>
        <s v="ROASTED AND SALTED PEANUT PASTE" u="1"/>
        <s v="AROMA DI MANDORLA TOSTATA" u="1"/>
        <s v="CAFFE' SOLUBILE ARABICA BRASILE" u="1"/>
        <s v="PISTACCHI INTERI SALATI TOSTATI CALIFORNIA" u="1"/>
        <s v="CLOUDY ORANGE JUICE CONCETRATED 60 °BRIX" u="1"/>
        <s v="PISTACHIO PASTE SG" u="1"/>
        <s v="CHOPPED SHELLED AND ROASTED PISTACHIOS U 51225" u="1"/>
        <s v="PISTACCHI SGUSCIATI TOSTATI SALATI CALIFORNIA" u="1"/>
        <s v="PISTACHIO PASTE SICILY" u="1"/>
        <s v="NATURAL FROZEN STRAWBERRY PUREE (WITH SEEDS)" u="1"/>
        <s v="CAFFE' SOLUBILE RFA 11004335" u="1"/>
        <s v="FROZEN LEMON SINGLE STRAIGHT JUICE S" u="1"/>
        <s v="CUBETTI DI ARANCIA CANDITI 4X4" u="1"/>
        <s v="CANDIED LEMON PEEL 4X4" u="1"/>
        <s v="CANDIED CEDAR PEEL 4X4" u="1"/>
        <s v="SUCCO DI MANDARINO NATURALE CONGELATO" u="1"/>
        <s v="FROZEN LIME SINGLE STRAIGHT JUICE M" u="1"/>
        <s v="SUCCO DI ARANCIA NATURALE CONGELATO" u="1"/>
        <s v="FROZEN GRAPEFRUIT SINGLE STRAIGHT JUICE S" u="1"/>
        <s v="OLIO ESSENZIALE DI ARANCIA SICILIA BIOLOGICO" u="1"/>
        <s v="BLANCHED AND ROASTED ALMOND PASTE M" u="1"/>
        <s v="ALMOND MILK PASTE M" u="1"/>
        <s v="GRANELLA DI PISTACCHIO SIC. Cal. 2/5 mm" u="1"/>
        <s v="SUCCO DI ARANCIA AMARA CONCENTRATO TORBIDO 60 BRIX" u="1"/>
        <s v="SUCCO DI LIMONE CONC. TORBIDO 40 BX" u="1"/>
        <s v="SUCCO DI MANDARINO" u="1"/>
        <s v="SUCCO DI ARANCIA ROSSA" u="1"/>
        <s v="SUCCO DI ARANCIA DOLCE LIMP. DEPECTINIZZATO 1X7" u="1"/>
        <s v="NOCCIOLE TONDE ITALIA TOSTATE CAL. 13/15 mm" u="1"/>
        <s v="MANDORLE TUONO PELATE TOSTATE CAL. 34/36" u="1"/>
        <s v="MANDORLE TUONO PELATE CAL. 36/38" u="1"/>
        <s v="NOCCIOLE TOSTATE 90" u="1"/>
        <s v="MANDORLE TUONO PELATE CAL. 34/36" u="1"/>
        <s v="STRONGLY ROASTED ALMOND PASTE G - PMPT22G" u="1"/>
        <s v="PASTA PISTACCHIO SICILIA" u="1"/>
        <s v="AROMA PISTACCHIO TOSTATI" u="1"/>
        <s v="Granella di Mandorle Pelate Tostate Salate IT" u="1"/>
        <s v="Granella di Pistacchi Sgusciati Tostati Salati IT" u="1"/>
        <s v="NOCI GRANELLA 51824" u="1"/>
        <s v="GRANELLA DI NOCI 51824" u="1"/>
        <s v="INSTANT COFFEE 303" u="1"/>
        <s v="CANDIED LEMON PEEL 6X6" u="1"/>
        <s v="Café soluble Arabica India RFA carton 25kg" u="1"/>
        <s v="FROZEN LEMON SINGLE STRAIGHT JUICE" u="1"/>
        <s v="SUCCO DI ARANCIA TORBIDO FRESCO 60 BX" u="1"/>
        <s v="PASTA CAFFE'" u="1"/>
        <s v="GRANELLA PISTACCHI SGUSCIATI TOST U 512 CAL 2/5 mm" u="1"/>
        <s v="SUCCO DI LIMONE POLPOSO NATURALE  ASETTICO" u="1"/>
        <s v="PASTA DI MANDORLE 100% SICILIA(ISCC PLUS)" u="1"/>
        <s v="LEMON JUICE CONCENTRATED CLOUDY 40 °BX" u="1"/>
        <s v="PASTA DI MANDORLE CRUDA CALIFORNIA" u="1"/>
        <s v="PASTA DI MANDORLE TOSTATE 60/40" u="1"/>
        <s v="LEMON JUICE CONCENTRATED CLOUDY 40 °BRIX" u="1"/>
        <s v="BARRETTE DI CIOCCOLATO 100%  CIOCCOLATO DI MODICA" u="1"/>
        <s v="PASTA LATTE DI MANDORLE U" u="1"/>
        <s v="CANDIED ORANGE PEEL 9X9" u="1"/>
        <s v="CRUNCHY NOUGAT PASTE (With Nougat Pieces)" u="1"/>
        <s v="BLANCHED AND ROASTED ALMOND PASTE T" u="1"/>
        <s v="BITTER ALMOND FLAVOUR" u="1"/>
        <s v="PANETTONE FLAVOUR" u="1"/>
        <s v="PASTA CAFFE' SO" u="1"/>
        <s v="PASTA PISTACCHIO EXTRA IT" u="1"/>
        <s v=" PASTA PISTACCHIO U MPPA034" u="1"/>
        <s v="NOCCIOLA GRANELLA CARAMELLIZZATA" u="1"/>
        <s v="AROMA NATURALE PISTACCHIO" u="1"/>
        <s v="PISTACHIO P WITH100%  Green Pistachio from Bronte" u="1"/>
        <s v="CHOPPED AND ROASTED SICILIAN PISTACHIOS EXTRA 511" u="1"/>
        <s v="BLANCHED AND ROASTED AVOLA ALMOND PASTE" u="1"/>
        <s v="AVOLA ALMOND MILK PASTE" u="1"/>
        <s v="PASTA TORRONCINO SOLUBILE 11000062" u="1"/>
        <s v="CHOPPED AND ROASTED PISTACHIOS S CAL. 2/5 mm" u="1"/>
        <s v="AROMA LATTE DI MANDORLA" u="1"/>
        <s v="PISTACCHIO GRANELLA 2-4 MM" u="1"/>
        <s v="GRANELLA PISTACCHI SG TOST SAL S EX 511 CAL 2/5 mm" u="1"/>
        <s v="GRANELLA PISTACCHI PRAL ART SAL U CAL 4/6 mm" u="1"/>
        <s v="GRANELLA PISTACCHI PRAL ART SAL U CAL 2/4 mm" u="1"/>
        <s v="GRANELLA MANDORLA SG PRAL ART SAL IT CAL 4/6 mm" u="1"/>
        <s v="GRANELLA MANDORLA SG PRAL ART SAL IT CAL 2/4 mm" u="1"/>
        <s v="GRANELLA MANDORLA SG PRAL ART SAL U CAL 4/6 mm" u="1"/>
        <s v="GRANELLA MANDORLA SG PRAL ART SAL U CAL 2/4 mm" u="1"/>
        <s v="MANDORLE CARAMELLIZZATE Cal. 2/5mm" u="1"/>
        <s v="AROMA MANDORLA TOSTATA ARMT4926" u="1"/>
        <s v="PASTA PISTACCHIO MUV" u="1"/>
        <s v="GRANELLA DI NOCCIOLE TOSTATE 510 CAL. 4/6 mm" u="1"/>
        <s v="GRANELLA DI NOCCIOLE TOSTATE 510 CAL. 6/8 mm" u="1"/>
        <s v="GRANELLA DI NOCCIOLA PRALINATA 400 CAL. 4/6 mm" u="1"/>
        <s v="GRANELLA DI NOCCIOLE PRALINATA 400 CAL.  6/8 mm" u="1"/>
        <s v="CANDIED LEMON STRIPS 6X6X60" u="1"/>
        <s v="CLEAR MANDARIN JUICE CONCENTRATED 70 °BRIX" u="1"/>
        <s v="SUCCO DI MIRTILLO CONCENTRATO LIMPIDO 65 °BRIX" u="1"/>
        <s v="SUCCO DI MORA CONCENTRATO LIMPIDO 65 °BRIX" u="1"/>
        <s v="SUCCO DI RIBES CONCENTRATO LIMPIDO 65 °BRIX" u="1"/>
        <s v="SUCCO DI LAMPONE CONCENTRATO LIMPIDO 65 °BRIX" u="1"/>
        <s v="PASTA PISTACCHIO PRALINATA SAL" u="1"/>
        <s v="VARIEGATO ANIDRO VEGANO CACAO E NOCCIOLA LK" u="1"/>
        <s v="GRANELLA DI NOCCIOLE PRALINATA 400 CAL. 6/8 mm" u="1"/>
        <s v="ROASTED ALMOND PASTE" u="1"/>
        <s v="ORGANIC CONCENTRATED CLOUDY LEMON JUICE 48° BRIX" u="1"/>
        <s v="PASTA PISTACCHIO TOSTATO VERDE" u="1"/>
        <s v="GRANELLA MANDORLE PELATE TOSTATE U CAL. 3/5 mm" u="1"/>
        <s v="VARIEGATO ANIDRO AL CAFFE'" u="1"/>
        <s v="BROOM ABSOLUTE PURE" u="1"/>
        <s v="PASTA TORRONE NATURALE" u="1"/>
        <s v="PISTACHIO PASTE ARO00236" u="1"/>
        <s v="GRANELLA DI MANDORLE PEL TOST SAL U CAL 2/4 mm" u="1"/>
        <s v="MANDORLE AMARE PELATE" u="1"/>
        <s v="PASTA PISTACCHIO MAWARDI" u="1"/>
        <s v="PASTA MANDORLA AVOLA  TOSTATA GOLD" u="1"/>
        <s v="ORGANIC SHELLED PISTACHIO" u="1"/>
        <s v="PISTACHIO PASTE PRALINE" u="1"/>
        <s v="PISTACHIO PASTE M" u="1"/>
        <s v="BASE ARANCIA 60 °BX PRIMA FASCIA SICILIANA" u="1"/>
        <s v="SUCCO LIMONE TORBIDO 40 °BX" u="1"/>
        <s v="SUCCO DI MANDARINO NATURALE CONGELATO S" u="1"/>
        <s v="ARANCIA AMARA SUCCO CONC.TORBIDO 40 Bx-SICILIA" u="1"/>
        <s v="CLEAR ORANGE JUICE CONCENTRATED 70° BRIX" u="1"/>
        <s v="FROZEN ORANGE PULP" u="1"/>
        <s v="PASTA PINOLO IT M356" u="1"/>
        <s v="PASTA DI CAFFE' BC" u="1"/>
        <s v="SUCCO DI LIME NATURALE CONGELATO M" u="1"/>
        <s v="GRANELLA DI PISTACCHI SGUSC TOST SAL CAL 2/4 mm" u="1"/>
        <s v="COPERTURA CACAO PER TORTA" u="1"/>
        <s v="VARIEGATO AL PISTACCHIO SL" u="1"/>
        <s v="GRANELLA DI PISTACCHIO PRAL SAL 501 CAL. 1/6 mm" u="1"/>
        <s v="VARIEGATO ALLA MANDORLA SALATA (ISCC PLUS)" u="1"/>
        <s v="GRANELLA DI MANDORLE PELATE TOSTATE U Cal 3/5" u="1"/>
        <s v="BLANCHED AND ROASTED ALMON PASTE T" u="1"/>
        <s v="CHOPPED ALMOND SUGAR COATED 40116 CAL. 1/6 mm" u="1"/>
        <s v="PISTACHE BRUTE PATE 100%" u="1"/>
        <s v="GRANELLA PISTACCHIO PRAL S 1-6mm 14002345" u="1"/>
        <s v="COPERTURA SPRY NO LATTE" u="1"/>
        <s v="VARIEGATO ANIDRO L CIOCCOLATO 2224" u="1"/>
        <s v="SUCCO DI LIMONE CONCENTRATO TORBIDO 40 °BRIX" u="1"/>
        <s v="CLOUDY LEMON JUICE CONCENTRATED 40 °BRIX" u="1"/>
        <s v="BITTER ALMON FLAVOUR" u="1"/>
        <s v="SUGARED HAZELNUT GRAIN 6-8 MM GROM 050067" u="1"/>
        <s v="ORANGE PASTE" u="1"/>
        <s v="SUCCO DI PESCA ATOMIZZATO DB.660011" u="1"/>
        <s v="SUCCO DI ARANCIA CONC. TORBIDO 60 °BRIX BIOLOGICO" u="1"/>
        <s v="FROZEN MANDARIN JUICE SINGLE STRAIGHT" u="1"/>
        <s v="CREMA PISTACCHIO 12S" u="1"/>
        <s v="Modica Chocolate IGP Chopped 2/4 mm" u="1"/>
        <s v="PISTACHIO PASTE 100% GREEN PISTACHIO BRONTE" u="1"/>
        <s v="PASTA DI ARACHIDI TOSTATE DN" u="1"/>
        <s v="ALMONDS/HAZELNUTS PRALINE'" u="1"/>
        <s v="GRANELLA DIPISTACCHIO PRALINATA 439 S CAL. 1/6 MM" u="1"/>
        <s v="GRAN.PRAL.SAL.MANDORLA SGUS. SICILIA 1/6 ISCC PLUS" u="1"/>
        <s v="NOCCIOLE TONDE IT TOSTATE CAL. 13/15 mm" u="1"/>
      </sharedItems>
    </cacheField>
    <cacheField name="Qta/kg OV" numFmtId="0">
      <sharedItems containsString="0" containsBlank="1" containsNumber="1" minValue="0.5" maxValue="20000" count="39">
        <n v="6400"/>
        <n v="3072"/>
        <n v="1000"/>
        <n v="640"/>
        <n v="0.5"/>
        <n v="1296"/>
        <n v="500"/>
        <n v="10000"/>
        <n v="20000"/>
        <n v="3200"/>
        <n v="1500"/>
        <n v="2500"/>
        <n v="1920"/>
        <n v="2304"/>
        <n v="2560"/>
        <n v="2.5"/>
        <n v="100"/>
        <n v="50"/>
        <n v="12400"/>
        <n v="1"/>
        <n v="400"/>
        <n v="700"/>
        <n v="800"/>
        <n v="0.7"/>
        <n v="20"/>
        <n v="5"/>
        <n v="5000"/>
        <n v="250"/>
        <n v="2000"/>
        <n v="4000"/>
        <n v="1440"/>
        <n v="1200"/>
        <n v="275"/>
        <n v="3000"/>
        <n v="480"/>
        <n v="3500"/>
        <n v="160"/>
        <n v="1240"/>
        <m/>
      </sharedItems>
    </cacheField>
    <cacheField name="Qta/kg evasa" numFmtId="0">
      <sharedItems containsString="0" containsBlank="1" containsNumber="1" containsInteger="1" minValue="340" maxValue="340" count="2">
        <m/>
        <n v="340"/>
      </sharedItems>
    </cacheField>
    <cacheField name="Qta/kg da ev." numFmtId="0">
      <sharedItems containsString="0" containsBlank="1" containsNumber="1" minValue="0.5" maxValue="20000" count="40">
        <n v="6400"/>
        <n v="3072"/>
        <n v="1000"/>
        <n v="640"/>
        <n v="0.5"/>
        <n v="300"/>
        <n v="1296"/>
        <n v="500"/>
        <n v="10000"/>
        <n v="20000"/>
        <n v="3200"/>
        <n v="1500"/>
        <n v="2500"/>
        <n v="1920"/>
        <n v="2304"/>
        <n v="2560"/>
        <n v="2.5"/>
        <n v="100"/>
        <n v="50"/>
        <n v="12400"/>
        <n v="1"/>
        <n v="400"/>
        <n v="700"/>
        <n v="800"/>
        <n v="0.7"/>
        <n v="20"/>
        <n v="5"/>
        <n v="5000"/>
        <n v="250"/>
        <n v="2000"/>
        <n v="4000"/>
        <n v="1440"/>
        <n v="1200"/>
        <n v="275"/>
        <n v="3000"/>
        <n v="480"/>
        <n v="3500"/>
        <n v="160"/>
        <n v="1240"/>
        <m/>
      </sharedItems>
    </cacheField>
    <cacheField name="Data sped. utile" numFmtId="0">
      <sharedItems containsNonDate="0" containsDate="1" containsString="0" containsBlank="1" minDate="2003-03-10T00:00:00" maxDate="2026-01-16T00:00:00" count="399">
        <m/>
        <d v="2025-12-05T00:00:00"/>
        <d v="2026-01-15T00:00:00"/>
        <d v="2025-12-01T00:00:00"/>
        <d v="2025-11-10T00:00:00"/>
        <d v="2025-11-17T00:00:00" u="1"/>
        <d v="2025-11-14T00:00:00" u="1"/>
        <d v="2025-11-13T00:00:00" u="1"/>
        <d v="2025-10-24T00:00:00" u="1"/>
        <d v="2025-11-11T00:00:00" u="1"/>
        <d v="2025-11-07T00:00:00" u="1"/>
        <d v="2025-11-04T00:00:00" u="1"/>
        <d v="2025-10-27T00:00:00" u="1"/>
        <d v="2025-11-03T00:00:00" u="1"/>
        <d v="2025-10-31T00:00:00" u="1"/>
        <d v="2025-10-30T00:00:00" u="1"/>
        <d v="2025-10-28T00:00:00" u="1"/>
        <d v="2025-10-29T00:00:00" u="1"/>
        <d v="2025-10-20T00:00:00" u="1"/>
        <d v="2025-10-21T00:00:00" u="1"/>
        <d v="2025-10-22T00:00:00" u="1"/>
        <d v="2025-10-10T00:00:00" u="1"/>
        <d v="2025-10-17T00:00:00" u="1"/>
        <d v="2025-10-16T00:00:00" u="1"/>
        <d v="2025-09-26T00:00:00" u="1"/>
        <d v="2025-10-06T00:00:00" u="1"/>
        <d v="2025-09-05T00:00:00" u="1"/>
        <d v="2025-09-30T00:00:00" u="1"/>
        <d v="2025-10-03T00:00:00" u="1"/>
        <d v="2025-10-02T00:00:00" u="1"/>
        <d v="2025-09-29T00:00:00" u="1"/>
        <d v="2025-09-19T00:00:00" u="1"/>
        <d v="2025-09-25T00:00:00" u="1"/>
        <d v="2025-09-24T00:00:00" u="1"/>
        <d v="2025-09-22T00:00:00" u="1"/>
        <d v="2025-09-18T00:00:00" u="1"/>
        <d v="2025-09-17T00:00:00" u="1"/>
        <d v="2025-09-15T00:00:00" u="1"/>
        <d v="2025-09-12T00:00:00" u="1"/>
        <d v="2025-09-09T00:00:00" u="1"/>
        <d v="2025-09-11T00:00:00" u="1"/>
        <d v="2025-09-10T00:00:00" u="1"/>
        <d v="2025-09-01T00:00:00" u="1"/>
        <d v="2025-07-21T00:00:00" u="1"/>
        <d v="2025-08-29T00:00:00" u="1"/>
        <d v="2025-09-08T00:00:00" u="1"/>
        <d v="2025-09-03T00:00:00" u="1"/>
        <d v="2025-09-04T00:00:00" u="1"/>
        <d v="2025-08-27T00:00:00" u="1"/>
        <d v="2025-08-28T00:00:00" u="1"/>
        <d v="2024-12-31T00:00:00" u="1"/>
        <d v="2025-07-03T00:00:00" u="1"/>
        <d v="2025-12-31T00:00:00" u="1"/>
        <d v="2025-11-28T00:00:00" u="1"/>
        <d v="2025-08-08T00:00:00" u="1"/>
        <d v="2025-09-16T00:00:00" u="1"/>
        <d v="2025-08-04T00:00:00" u="1"/>
        <d v="2025-07-31T00:00:00" u="1"/>
        <d v="2025-07-22T00:00:00" u="1"/>
        <d v="2025-08-05T00:00:00" u="1"/>
        <d v="2025-03-31T00:00:00" u="1"/>
        <d v="2025-05-21T00:00:00" u="1"/>
        <d v="2025-05-15T00:00:00" u="1"/>
        <d v="2025-07-24T00:00:00" u="1"/>
        <d v="2025-07-28T00:00:00" u="1"/>
        <d v="2025-07-07T00:00:00" u="1"/>
        <d v="2025-08-22T00:00:00" u="1"/>
        <d v="2025-08-25T00:00:00" u="1"/>
        <d v="2025-07-11T00:00:00" u="1"/>
        <d v="2025-08-18T00:00:00" u="1"/>
        <d v="2025-08-21T00:00:00" u="1"/>
        <d v="2025-08-20T00:00:00" u="1"/>
        <d v="2025-08-19T00:00:00" u="1"/>
        <d v="2025-08-06T00:00:00" u="1"/>
        <d v="2025-08-01T00:00:00" u="1"/>
        <d v="2025-07-30T00:00:00" u="1"/>
        <d v="2025-07-25T00:00:00" u="1"/>
        <d v="2025-06-06T00:00:00" u="1"/>
        <d v="2025-07-23T00:00:00" u="1"/>
        <d v="2025-07-18T00:00:00" u="1"/>
        <d v="2025-07-17T00:00:00" u="1"/>
        <d v="2025-07-16T00:00:00" u="1"/>
        <d v="2025-07-10T00:00:00" u="1"/>
        <d v="2025-07-14T00:00:00" u="1"/>
        <d v="2025-07-09T00:00:00" u="1"/>
        <d v="2025-07-04T00:00:00" u="1"/>
        <d v="2025-05-16T00:00:00" u="1"/>
        <d v="2025-06-30T00:00:00" u="1"/>
        <d v="2025-07-02T00:00:00" u="1"/>
        <d v="2025-07-01T00:00:00" u="1"/>
        <d v="2025-06-17T00:00:00" u="1"/>
        <d v="2025-06-27T00:00:00" u="1"/>
        <d v="2025-06-23T00:00:00" u="1"/>
        <d v="2025-06-25T00:00:00" u="1"/>
        <d v="2025-06-20T00:00:00" u="1"/>
        <d v="2025-04-14T00:00:00" u="1"/>
        <d v="2025-05-09T00:00:00" u="1"/>
        <d v="2025-06-13T00:00:00" u="1"/>
        <d v="2025-06-12T00:00:00" u="1"/>
        <d v="2025-05-20T00:00:00" u="1"/>
        <d v="2025-06-16T00:00:00" u="1"/>
        <d v="2025-06-11T00:00:00" u="1"/>
        <d v="2025-06-10T00:00:00" u="1"/>
        <d v="2025-06-09T00:00:00" u="1"/>
        <d v="2025-04-24T00:00:00" u="1"/>
        <d v="2025-05-13T00:00:00" u="1"/>
        <d v="2025-06-04T00:00:00" u="1"/>
        <d v="2025-05-29T00:00:00" u="1"/>
        <d v="2025-06-03T00:00:00" u="1"/>
        <d v="2025-05-25T00:00:00" u="1"/>
        <d v="2025-05-30T00:00:00" u="1"/>
        <d v="2025-05-26T00:00:00" u="1"/>
        <d v="2025-05-23T00:00:00" u="1"/>
        <d v="2025-06-02T00:00:00" u="1"/>
        <d v="2025-05-28T00:00:00" u="1"/>
        <d v="2025-05-22T00:00:00" u="1"/>
        <d v="2025-05-27T00:00:00" u="1"/>
        <d v="2025-05-19T00:00:00" u="1"/>
        <d v="2025-05-14T00:00:00" u="1"/>
        <d v="2025-05-12T00:00:00" u="1"/>
        <d v="2025-05-06T00:00:00" u="1"/>
        <d v="2025-05-08T00:00:00" u="1"/>
        <d v="2025-05-07T00:00:00" u="1"/>
        <d v="2025-05-05T00:00:00" u="1"/>
        <d v="2025-04-29T00:00:00" u="1"/>
        <d v="2025-05-02T00:00:00" u="1"/>
        <d v="2025-04-30T00:00:00" u="1"/>
        <d v="2025-04-28T00:00:00" u="1"/>
        <d v="2025-04-18T00:00:00" u="1"/>
        <d v="2025-04-23T00:00:00" u="1"/>
        <d v="2025-04-11T00:00:00" u="1"/>
        <d v="2025-04-25T00:00:00" u="1"/>
        <d v="2025-04-22T00:00:00" u="1"/>
        <d v="2025-04-16T00:00:00" u="1"/>
        <d v="2025-03-28T00:00:00" u="1"/>
        <d v="2025-04-10T00:00:00" u="1"/>
        <d v="2025-04-15T00:00:00" u="1"/>
        <d v="2025-04-09T00:00:00" u="1"/>
        <d v="2025-03-26T00:00:00" u="1"/>
        <d v="2025-04-08T00:00:00" u="1"/>
        <d v="2025-04-04T00:00:00" u="1"/>
        <d v="2025-04-07T00:00:00" u="1"/>
        <d v="2017-11-23T00:00:00" u="1"/>
        <d v="2024-04-19T00:00:00" u="1"/>
        <d v="2024-05-24T00:00:00" u="1"/>
        <d v="2024-06-21T00:00:00" u="1"/>
        <d v="2024-07-19T00:00:00" u="1"/>
        <d v="2017-12-19T00:00:00" u="1"/>
        <d v="2018-02-06T00:00:00" u="1"/>
        <d v="2018-01-03T00:00:00" u="1"/>
        <d v="2017-10-27T00:00:00" u="1"/>
        <d v="2017-10-26T00:00:00" u="1"/>
        <d v="2017-12-28T00:00:00" u="1"/>
        <d v="2018-02-02T00:00:00" u="1"/>
        <d v="2024-07-22T00:00:00" u="1"/>
        <d v="2018-01-04T00:00:00" u="1"/>
        <d v="2017-11-27T00:00:00" u="1"/>
        <d v="2021-03-15T00:00:00" u="1"/>
        <d v="2020-12-07T00:00:00" u="1"/>
        <d v="2021-10-29T00:00:00" u="1"/>
        <d v="2024-03-19T00:00:00" u="1"/>
        <d v="2023-03-06T00:00:00" u="1"/>
        <d v="2025-03-04T00:00:00" u="1"/>
        <d v="2023-07-10T00:00:00" u="1"/>
        <d v="2023-09-25T00:00:00" u="1"/>
        <d v="2024-09-23T00:00:00" u="1"/>
        <d v="2023-09-04T00:00:00" u="1"/>
        <d v="2023-11-30T00:00:00" u="1"/>
        <d v="2017-11-02T00:00:00" u="1"/>
        <d v="2017-12-11T00:00:00" u="1"/>
        <d v="2018-06-01T00:00:00" u="1"/>
        <d v="2018-06-29T00:00:00" u="1"/>
        <d v="2020-08-06T00:00:00" u="1"/>
        <d v="2024-07-15T00:00:00" u="1"/>
        <d v="2025-02-10T00:00:00" u="1"/>
        <d v="2019-02-12T00:00:00" u="1"/>
        <d v="2025-02-21T00:00:00" u="1"/>
        <d v="2024-10-07T00:00:00" u="1"/>
        <d v="2024-11-25T00:00:00" u="1"/>
        <d v="2021-11-30T00:00:00" u="1"/>
        <d v="2019-01-09T00:00:00" u="1"/>
        <d v="2025-02-14T00:00:00" u="1"/>
        <d v="2025-03-14T00:00:00" u="1"/>
        <d v="2024-05-31T00:00:00" u="1"/>
        <d v="2017-12-31T00:00:00" u="1"/>
        <d v="2024-10-18T00:00:00" u="1"/>
        <d v="2024-10-25T00:00:00" u="1"/>
        <d v="2024-11-15T00:00:00" u="1"/>
        <d v="2024-11-07T00:00:00" u="1"/>
        <d v="2020-09-10T00:00:00" u="1"/>
        <d v="2022-01-14T00:00:00" u="1"/>
        <d v="2017-10-31T00:00:00" u="1"/>
        <d v="2020-03-04T00:00:00" u="1"/>
        <d v="2022-03-31T00:00:00" u="1"/>
        <d v="2021-04-27T00:00:00" u="1"/>
        <d v="2018-04-20T00:00:00" u="1"/>
        <d v="2018-09-07T00:00:00" u="1"/>
        <d v="2019-10-08T00:00:00" u="1"/>
        <d v="2021-09-30T00:00:00" u="1"/>
        <d v="2020-12-14T00:00:00" u="1"/>
        <d v="2021-02-08T00:00:00" u="1"/>
        <d v="2021-04-26T00:00:00" u="1"/>
        <d v="2023-06-16T00:00:00" u="1"/>
        <d v="2025-03-07T00:00:00" u="1"/>
        <d v="2025-04-03T00:00:00" u="1"/>
        <d v="2025-04-01T00:00:00" u="1"/>
        <d v="2025-03-17T00:00:00" u="1"/>
        <d v="2025-03-27T00:00:00" u="1"/>
        <d v="2025-03-21T00:00:00" u="1"/>
        <d v="2025-03-24T00:00:00" u="1"/>
        <d v="2025-03-25T00:00:00" u="1"/>
        <d v="2003-03-17T00:00:00" u="1"/>
        <d v="2025-02-28T00:00:00" u="1"/>
        <d v="2025-03-19T00:00:00" u="1"/>
        <d v="2025-03-11T00:00:00" u="1"/>
        <d v="2025-03-18T00:00:00" u="1"/>
        <d v="2025-03-13T00:00:00" u="1"/>
        <d v="2025-03-10T00:00:00" u="1"/>
        <d v="2025-03-06T00:00:00" u="1"/>
        <d v="2025-03-03T00:00:00" u="1"/>
        <d v="2025-02-27T00:00:00" u="1"/>
        <d v="2025-02-07T00:00:00" u="1"/>
        <d v="2025-02-26T00:00:00" u="1"/>
        <d v="2025-02-24T00:00:00" u="1"/>
        <d v="2025-02-25T00:00:00" u="1"/>
        <d v="2003-03-10T00:00:00" u="1"/>
        <d v="2025-02-20T00:00:00" u="1"/>
        <d v="2025-01-31T00:00:00" u="1"/>
        <d v="2025-02-18T00:00:00" u="1"/>
        <d v="2025-02-17T00:00:00" u="1"/>
        <d v="2025-02-12T00:00:00" u="1"/>
        <d v="2025-02-06T00:00:00" u="1"/>
        <d v="2025-02-03T00:00:00" u="1"/>
        <d v="2025-02-05T00:00:00" u="1"/>
        <d v="2025-02-04T00:00:00" u="1"/>
        <d v="2025-01-24T00:00:00" u="1"/>
        <d v="2025-01-22T00:00:00" u="1"/>
        <d v="2025-01-30T00:00:00" u="1"/>
        <d v="2025-01-17T00:00:00" u="1"/>
        <d v="2025-01-27T00:00:00" u="1"/>
        <d v="2025-01-28T00:00:00" u="1"/>
        <d v="2025-01-23T00:00:00" u="1"/>
        <d v="2025-01-21T00:00:00" u="1"/>
        <d v="2025-01-16T00:00:00" u="1"/>
        <d v="2025-01-13T00:00:00" u="1"/>
        <d v="2025-01-10T00:00:00" u="1"/>
        <d v="2024-01-10T00:00:00" u="1"/>
        <d v="2025-01-03T00:00:00" u="1"/>
        <d v="2025-01-09T00:00:00" u="1"/>
        <d v="2025-01-08T00:00:00" u="1"/>
        <d v="2025-01-07T00:00:00" u="1"/>
        <d v="2025-01-02T00:00:00" u="1"/>
        <d v="2024-12-13T00:00:00" u="1"/>
        <d v="2024-12-09T00:00:00" u="1"/>
        <d v="2024-12-17T00:00:00" u="1"/>
        <d v="2024-12-18T00:00:00" u="1"/>
        <d v="2024-01-16T00:00:00" u="1"/>
        <d v="2024-12-16T00:00:00" u="1"/>
        <d v="2024-12-10T00:00:00" u="1"/>
        <d v="2024-12-05T00:00:00" u="1"/>
        <d v="2024-12-06T00:00:00" u="1"/>
        <d v="2024-11-18T00:00:00" u="1"/>
        <d v="2024-12-03T00:00:00" u="1"/>
        <d v="2024-11-29T00:00:00" u="1"/>
        <d v="2024-11-28T00:00:00" u="1"/>
        <d v="2024-11-27T00:00:00" u="1"/>
        <d v="2024-11-22T00:00:00" u="1"/>
        <d v="2024-12-02T00:00:00" u="1"/>
        <d v="2024-11-21T00:00:00" u="1"/>
        <d v="2024-11-20T00:00:00" u="1"/>
        <d v="2024-11-14T00:00:00" u="1"/>
        <d v="2024-11-08T00:00:00" u="1"/>
        <d v="2024-11-11T00:00:00" u="1"/>
        <d v="2024-10-30T00:00:00" u="1"/>
        <d v="2024-11-04T00:00:00" u="1"/>
        <d v="2024-10-28T00:00:00" u="1"/>
        <d v="2024-10-31T00:00:00" u="1"/>
        <d v="2024-10-17T00:00:00" u="1"/>
        <d v="2024-10-24T00:00:00" u="1"/>
        <d v="2024-10-23T00:00:00" u="1"/>
        <d v="2024-10-21T00:00:00" u="1"/>
        <d v="2024-09-18T00:00:00" u="1"/>
        <d v="2024-10-09T00:00:00" u="1"/>
        <d v="2024-10-14T00:00:00" u="1"/>
        <d v="2024-10-15T00:00:00" u="1"/>
        <d v="2024-10-11T00:00:00" u="1"/>
        <d v="2024-09-27T00:00:00" u="1"/>
        <d v="2024-10-04T00:00:00" u="1"/>
        <d v="2024-10-01T00:00:00" u="1"/>
        <d v="2024-11-12T00:00:00" u="1"/>
        <d v="2024-10-02T00:00:00" u="1"/>
        <d v="2024-10-03T00:00:00" u="1"/>
        <d v="2024-09-30T00:00:00" u="1"/>
        <d v="2024-09-26T00:00:00" u="1"/>
        <d v="2024-09-20T00:00:00" u="1"/>
        <d v="2024-09-17T00:00:00" u="1"/>
        <d v="2024-09-13T00:00:00" u="1"/>
        <d v="2024-09-16T00:00:00" u="1"/>
        <d v="2024-09-10T00:00:00" u="1"/>
        <d v="2024-09-09T00:00:00" u="1"/>
        <d v="2024-08-23T00:00:00" u="1"/>
        <d v="2024-09-06T00:00:00" u="1"/>
        <d v="2024-09-05T00:00:00" u="1"/>
        <d v="2024-09-04T00:00:00" u="1"/>
        <d v="2024-09-02T00:00:00" u="1"/>
        <d v="2024-08-09T00:00:00" u="1"/>
        <d v="2024-08-30T00:00:00" u="1"/>
        <d v="2024-08-29T00:00:00" u="1"/>
        <d v="2024-08-26T00:00:00" u="1"/>
        <d v="2024-08-21T00:00:00" u="1"/>
        <d v="2024-08-22T00:00:00" u="1"/>
        <d v="2024-08-28T00:00:00" u="1"/>
        <d v="2024-08-19T00:00:00" u="1"/>
        <d v="2024-08-14T00:00:00" u="1"/>
        <d v="2024-08-08T00:00:00" u="1"/>
        <d v="2024-08-06T00:00:00" u="1"/>
        <d v="2024-07-30T00:00:00" u="1"/>
        <d v="2024-08-05T00:00:00" u="1"/>
        <d v="2024-08-02T00:00:00" u="1"/>
        <d v="2024-08-01T00:00:00" u="1"/>
        <d v="2024-07-31T00:00:00" u="1"/>
        <d v="2024-08-07T00:00:00" u="1"/>
        <d v="2024-07-29T00:00:00" u="1"/>
        <d v="2024-07-26T00:00:00" u="1"/>
        <d v="2024-07-24T00:00:00" u="1"/>
        <d v="2024-02-09T00:00:00" u="1"/>
        <d v="2024-07-23T00:00:00" u="1"/>
        <d v="2024-07-16T00:00:00" u="1"/>
        <d v="2024-05-27T00:00:00" u="1"/>
        <d v="2024-08-20T00:00:00" u="1"/>
        <d v="2024-07-18T00:00:00" u="1"/>
        <d v="2024-07-12T00:00:00" u="1"/>
        <d v="2024-07-17T00:00:00" u="1"/>
        <d v="2024-07-11T00:00:00" u="1"/>
        <d v="2024-06-12T00:00:00" u="1"/>
        <d v="2024-07-10T00:00:00" u="1"/>
        <d v="2024-07-05T00:00:00" u="1"/>
        <d v="2024-07-08T00:00:00" u="1"/>
        <d v="2024-07-04T00:00:00" u="1"/>
        <d v="2024-06-25T00:00:00" u="1"/>
        <d v="2024-06-14T00:00:00" u="1"/>
        <d v="2024-06-26T00:00:00" u="1"/>
        <d v="2024-07-01T00:00:00" u="1"/>
        <d v="2024-07-03T00:00:00" u="1"/>
        <d v="2024-06-28T00:00:00" u="1"/>
        <d v="2024-07-28T00:00:00" u="1"/>
        <d v="2024-06-27T00:00:00" u="1"/>
        <d v="2024-06-24T00:00:00" u="1"/>
        <d v="2024-06-10T00:00:00" u="1"/>
        <d v="2024-06-07T00:00:00" u="1"/>
        <d v="2024-06-17T00:00:00" u="1"/>
        <d v="2024-06-20T00:00:00" u="1"/>
        <d v="2024-06-13T00:00:00" u="1"/>
        <d v="2024-06-06T00:00:00" u="1"/>
        <d v="2024-04-26T00:00:00" u="1"/>
        <d v="2024-06-05T00:00:00" u="1"/>
        <d v="2024-06-03T00:00:00" u="1"/>
        <d v="2024-05-13T00:00:00" u="1"/>
        <d v="2024-06-04T00:00:00" u="1"/>
        <d v="2024-05-30T00:00:00" u="1"/>
        <d v="2024-05-29T00:00:00" u="1"/>
        <d v="2005-05-13T00:00:00" u="1"/>
        <d v="2024-05-20T00:00:00" u="1"/>
        <d v="2024-05-10T00:00:00" u="1"/>
        <d v="2024-05-17T00:00:00" u="1"/>
        <d v="2024-04-15T00:00:00" u="1"/>
        <d v="2024-05-03T00:00:00" u="1"/>
        <d v="2024-05-06T00:00:00" u="1"/>
        <d v="2024-05-22T00:00:00" u="1"/>
        <d v="2024-04-30T00:00:00" u="1"/>
        <d v="2024-03-01T00:00:00" u="1"/>
        <d v="2024-03-15T00:00:00" u="1"/>
        <d v="2024-05-16T00:00:00" u="1"/>
        <d v="2024-04-16T00:00:00" u="1"/>
        <d v="2024-04-08T00:00:00" u="1"/>
        <d v="2024-04-12T00:00:00" u="1"/>
        <d v="2024-04-29T00:00:00" u="1"/>
        <d v="2024-04-24T00:00:00" u="1"/>
        <d v="2024-03-22T00:00:00" u="1"/>
        <d v="2024-04-22T00:00:00" u="1"/>
        <d v="2024-04-05T00:00:00" u="1"/>
        <d v="2024-03-27T00:00:00" u="1"/>
        <d v="2024-04-11T00:00:00" u="1"/>
        <d v="2024-04-09T00:00:00" u="1"/>
        <d v="2024-03-25T00:00:00" u="1"/>
        <d v="2024-04-03T00:00:00" u="1"/>
        <d v="2024-04-04T00:00:00" u="1"/>
        <d v="2024-03-29T00:00:00" u="1"/>
        <d v="2024-04-02T00:00:00" u="1"/>
        <d v="2023-12-31T00:00:00" u="1"/>
        <d v="2024-02-29T00:00:00" u="1"/>
        <d v="2024-01-31T00:00:00" u="1"/>
        <d v="2025-11-30T00:00:00" u="1"/>
        <d v="2024-11-30T00:00:00" u="1"/>
        <d v="2023-12-29T00:00:00" u="1"/>
        <d v="2024-03-31T00:00:00" u="1"/>
        <d v="2024-03-18T00:00:00" u="1"/>
        <d v="2024-03-20T00:00:00" u="1"/>
        <d v="2024-04-17T00:00:00" u="1"/>
      </sharedItems>
      <fieldGroup par="46"/>
    </cacheField>
    <cacheField name="Data cons. rich." numFmtId="0">
      <sharedItems containsNonDate="0" containsDate="1" containsString="0" containsBlank="1" minDate="2025-11-03T00:00:00" maxDate="2026-08-01T00:00:00" count="37">
        <d v="2025-11-30T00:00:00"/>
        <d v="2025-12-10T00:00:00"/>
        <m/>
        <d v="2025-11-19T00:00:00"/>
        <d v="2025-11-25T00:00:00"/>
        <d v="2025-12-12T00:00:00"/>
        <d v="2025-12-18T00:00:00"/>
        <d v="2026-01-07T00:00:00"/>
        <d v="2025-12-17T00:00:00"/>
        <d v="2026-01-14T00:00:00"/>
        <d v="2026-01-15T00:00:00"/>
        <d v="2026-02-04T00:00:00"/>
        <d v="2026-02-25T00:00:00"/>
        <d v="2026-03-11T00:00:00"/>
        <d v="2025-11-28T00:00:00"/>
        <d v="2025-11-26T00:00:00"/>
        <d v="2025-12-09T00:00:00"/>
        <d v="2025-11-03T00:00:00"/>
        <d v="2026-01-27T00:00:00"/>
        <d v="2026-01-30T00:00:00"/>
        <d v="2026-05-29T00:00:00"/>
        <d v="2025-12-02T00:00:00"/>
        <d v="2025-12-01T00:00:00"/>
        <d v="2026-01-19T00:00:00"/>
        <d v="2026-02-10T00:00:00"/>
        <d v="2025-12-11T00:00:00"/>
        <d v="2026-01-23T00:00:00"/>
        <d v="2026-07-31T00:00:00"/>
        <d v="2025-12-19T00:00:00"/>
        <d v="2025-12-15T00:00:00"/>
        <d v="2026-01-26T00:00:00"/>
        <d v="2026-01-28T00:00:00"/>
        <d v="2026-01-08T00:00:00"/>
        <d v="2025-12-26T00:00:00"/>
        <d v="2025-11-20T00:00:00"/>
        <d v="2026-01-05T00:00:00"/>
        <d v="2026-01-09T00:00:00"/>
      </sharedItems>
    </cacheField>
    <cacheField name="Desc. vett." numFmtId="0">
      <sharedItems containsBlank="1" count="10">
        <s v="TRASPORTI RECUPERO SRL"/>
        <s v="RUSTICO BRUNO"/>
        <s v="CURRO' TRASPORTI SRL"/>
        <s v="DHL EXPRESS ITALY S.R.L."/>
        <s v="MAIL BOXES ETC"/>
        <s v="STEF Italia S.p.A."/>
        <m/>
        <s v="MITTENTE"/>
        <s v="SCHENKER ITALIANA SPA"/>
        <s v="RUSTICO BRUNO + CHRIS SRL"/>
      </sharedItems>
    </cacheField>
    <cacheField name="T-MIN" numFmtId="0">
      <sharedItems containsString="0" containsBlank="1" containsNumber="1" containsInteger="1" minValue="4" maxValue="8" count="3">
        <n v="8"/>
        <m/>
        <n v="4"/>
      </sharedItems>
    </cacheField>
    <cacheField name="T-MAX" numFmtId="0">
      <sharedItems containsString="0" containsBlank="1" containsNumber="1" containsInteger="1" minValue="8" maxValue="10" count="3">
        <n v="10"/>
        <m/>
        <n v="8"/>
      </sharedItems>
    </cacheField>
    <cacheField name="CONF" numFmtId="0">
      <sharedItems containsBlank="1" containsMixedTypes="1" containsNumber="1" containsInteger="1" minValue="1" maxValue="128" count="149">
        <s v="G21"/>
        <s v="GP22"/>
        <s v="P11"/>
        <s v="CT20"/>
        <s v="BSV500"/>
        <s v="P10"/>
        <s v="G23"/>
        <s v="IBC100"/>
        <s v="P12"/>
        <s v="GP23"/>
        <s v="PP2.5"/>
        <s v="CT21"/>
        <s v="F10"/>
        <s v="F05"/>
        <s v="P13"/>
        <s v="PP05"/>
        <s v="P31"/>
        <s v="PP1"/>
        <s v="P21"/>
        <s v="P18"/>
        <s v="PP035"/>
        <s v="G5"/>
        <s v="BB20"/>
        <s v="SP005"/>
        <s v="F250"/>
        <s v="CT25"/>
        <s v="P17"/>
        <m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30" u="1"/>
        <n v="31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9" u="1"/>
        <n v="81" u="1"/>
        <n v="83" u="1"/>
        <n v="84" u="1"/>
        <n v="86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</sharedItems>
    </cacheField>
    <cacheField name="Stato ordine" numFmtId="0">
      <sharedItems containsBlank="1" count="3">
        <s v="Non evaso"/>
        <s v="Evaso parzialmente"/>
        <m/>
      </sharedItems>
    </cacheField>
    <cacheField name="Desc. Porto" numFmtId="0">
      <sharedItems containsBlank="1" count="3">
        <s v="DDP"/>
        <s v="EXW OUR WAREHOUSE"/>
        <m/>
      </sharedItems>
    </cacheField>
    <cacheField name="Desc Tipo Sp" numFmtId="0">
      <sharedItems containsBlank="1" count="3">
        <s v="VETTORE"/>
        <s v="DESTINATARIO"/>
        <m/>
      </sharedItems>
    </cacheField>
    <cacheField name="Descrizione" numFmtId="0">
      <sharedItems containsBlank="1" count="30">
        <s v="ELAH DUFOUR S.P.A."/>
        <s v="BARATTI &amp; MILANO SRL"/>
        <s v="SIGEL GELATI S.R.L."/>
        <s v="LA SUISSA"/>
        <s v="ESKIGEL S.R.L."/>
        <s v="SAMMONTANA SPA"/>
        <s v="X LOGISTIC"/>
        <s v="GLACES DES ALPES"/>
        <s v="C.D.T. TOMARCHIO SRL"/>
        <s v="FASSI ISTITUTO BIOFARM"/>
        <s v="FABBRI 1905 SPA"/>
        <s v="UNIGRA S.R.L."/>
        <s v="HANSENS FLODEIS"/>
        <s v="COMPRITAL SPA"/>
        <s v="POLE SUD"/>
        <s v="DISTILLERIE FRANCIACOR"/>
        <s v="PRE GEL SPA"/>
        <s v="LESS MESS STORAGE"/>
        <s v="NUTKAO S.r.l."/>
        <s v="FRONERI ICE CREAM DEUT"/>
        <s v="MENZ&amp;GASSER SPA"/>
        <s v="AMORINO"/>
        <s v="GEXPA / SOGEDIAL"/>
        <s v="LINDT &amp; SPRÜNGLI S.p.A"/>
        <s v="DISARONNO INGREDIENTS"/>
        <s v="PI PLANT MAPPANO WAREH"/>
        <s v="RDT LOG"/>
        <s v="GOLOSI DI SALUTE SRL"/>
        <m/>
        <s v="S.I.P.A. SPA"/>
      </sharedItems>
    </cacheField>
    <cacheField name="Citta'" numFmtId="0">
      <sharedItems containsBlank="1" count="31">
        <s v="15067 NOVI LIGURE (AL)"/>
        <s v="12042 BRA CN"/>
        <s v="91025 MARSALA TP"/>
        <s v="15061 ARQUATA SCRIVIA"/>
        <s v="05100 TERNI TR"/>
        <s v="37030 VERONA"/>
        <s v="50053 EMPOLI FI"/>
        <s v="37030 LAVAGNO (VR)"/>
        <s v="74350 ALLONIZER LA CAI"/>
        <s v="95045 MISTERBIANCO CT"/>
        <s v="18027 CHIUSANICO IM"/>
        <s v="40011 ANZOLA DELL'EMIL"/>
        <s v="48017 CONSELICE RA"/>
        <s v="3630 JAEGERPRIS (DANIM"/>
        <s v="20090 SETTALA MI"/>
        <s v="11200 LEZIGNAN CORBIER"/>
        <s v="25064 GUSSAGO BS"/>
        <s v="42122 GAVASSETO (RE)"/>
        <s v="32-060 KRISPINOW (KRAK"/>
        <s v="12040 CANOVE DI GOVONE"/>
        <s v="49080 OSNABRUECK"/>
        <s v="0"/>
        <s v="94310"/>
        <s v="76600 LE HAVRE - FRANC"/>
        <s v="20013 MAGENTA (MI)"/>
        <s v="36077 ALTAVILLA VICENT"/>
        <s v="MAPPANO 10079 (TO)"/>
        <s v="13310 SAINT-MARTIN-DE-"/>
        <s v="12066 MONTICELLO D'ALB"/>
        <m/>
        <s v="20098 SAN GIULIANO MIL"/>
      </sharedItems>
    </cacheField>
    <cacheField name="Gruppo" numFmtId="0">
      <sharedItems containsString="0" containsBlank="1" containsNumber="1" containsInteger="1" minValue="4" maxValue="6" count="4">
        <n v="5"/>
        <n v="4"/>
        <n v="6"/>
        <m/>
      </sharedItems>
    </cacheField>
    <cacheField name="Descrizione famiglia" numFmtId="0">
      <sharedItems containsBlank="1" count="11">
        <s v="MANDORLE"/>
        <s v="GRANELLE PRALINATE"/>
        <s v="PASTE"/>
        <s v="GRANELLE"/>
        <s v="VARIEGATI"/>
        <s v="NOCCIOLE"/>
        <s v="AROMI"/>
        <s v="OLI ESSENZIALI"/>
        <s v="SUCCHI"/>
        <s v="CAFFE'"/>
        <m/>
      </sharedItems>
    </cacheField>
    <cacheField name="Sottofamigli" numFmtId="0">
      <sharedItems containsString="0" containsBlank="1" containsNumber="1" containsInteger="1" minValue="115" maxValue="988" count="25">
        <n v="978"/>
        <n v="216"/>
        <n v="213"/>
        <n v="830"/>
        <n v="199"/>
        <n v="208"/>
        <n v="870"/>
        <n v="873"/>
        <n v="550"/>
        <n v="202"/>
        <n v="800"/>
        <n v="635"/>
        <n v="230"/>
        <n v="309"/>
        <n v="972"/>
        <n v="296"/>
        <n v="745"/>
        <n v="364"/>
        <n v="135"/>
        <n v="379"/>
        <n v="347"/>
        <n v="348"/>
        <n v="988"/>
        <n v="115"/>
        <m/>
      </sharedItems>
    </cacheField>
    <cacheField name="Descrizione sottofam" numFmtId="0">
      <sharedItems containsBlank="1" count="25">
        <s v="SGUSCIATE TOSTATE"/>
        <s v="PISTACCHI"/>
        <s v="MANDORLE"/>
        <s v="PELATE TOSTATE"/>
        <s v="MANDORLE PELATE TOSTATE"/>
        <s v="PISTACCHI SGUSCIATI TOSTAT"/>
        <s v="PISTACCHIO"/>
        <s v="TORRONCINO"/>
        <s v="GIANDUIA"/>
        <s v="MANDORLE SGUCIATE"/>
        <s v="PANETTONE"/>
        <s v="LIMONE"/>
        <s v="CAFFE'"/>
        <s v="PISTACCHI BIO"/>
        <s v="SGUSCIATE"/>
        <s v="GUSCIO"/>
        <s v="NOCCIOLE"/>
        <s v="FRAGOLA CONC. LIMPIDO"/>
        <s v="ARANCIA"/>
        <s v="LIMONE CONC. TORBIDO"/>
        <s v="ARANCE AMARE CONC. TORBIDO"/>
        <s v="ARANCIA CONC. TORBIDO"/>
        <s v="SOLUBILE"/>
        <s v="ARACHIDI"/>
        <m/>
      </sharedItems>
    </cacheField>
    <cacheField name="Famiglia" numFmtId="0">
      <sharedItems containsString="0" containsBlank="1" containsNumber="1" containsInteger="1" minValue="4" maxValue="295" count="11">
        <n v="180"/>
        <n v="125"/>
        <n v="235"/>
        <n v="120"/>
        <n v="4"/>
        <n v="200"/>
        <n v="30"/>
        <n v="215"/>
        <n v="295"/>
        <n v="45"/>
        <m/>
      </sharedItems>
    </cacheField>
    <cacheField name="Gruppo2" numFmtId="0">
      <sharedItems containsString="0" containsBlank="1" containsNumber="1" containsInteger="1" minValue="4" maxValue="6" count="4">
        <n v="5"/>
        <n v="4"/>
        <n v="6"/>
        <m/>
      </sharedItems>
    </cacheField>
    <cacheField name="Desc gr/sgru" numFmtId="0">
      <sharedItems containsBlank="1" count="4">
        <s v="PRODOTTI DI BARTOLO"/>
        <s v="PRODOTTI COMMERCIALIZZATI"/>
        <s v="PRODOTTI MIRITZ"/>
        <m/>
      </sharedItems>
    </cacheField>
    <cacheField name="TIP.PROD." numFmtId="0">
      <sharedItems containsString="0" containsBlank="1" containsNumber="1" containsInteger="1" minValue="1" maxValue="7" count="4">
        <n v="1"/>
        <n v="4"/>
        <n v="7"/>
        <m/>
      </sharedItems>
    </cacheField>
    <cacheField name="Des.inf.stat" numFmtId="0">
      <sharedItems containsBlank="1" count="4">
        <s v="PRODOTTO FINITO"/>
        <s v="SEMILAVORATO"/>
        <s v="MATERIA PRIMA"/>
        <m/>
      </sharedItems>
    </cacheField>
    <cacheField name="Codice vettore" numFmtId="0">
      <sharedItems containsString="0" containsBlank="1" containsNumber="1" containsInteger="1" minValue="1" maxValue="70" count="10">
        <n v="70"/>
        <n v="1"/>
        <n v="2"/>
        <n v="5"/>
        <n v="35"/>
        <n v="45"/>
        <m/>
        <n v="23"/>
        <n v="6"/>
        <n v="10"/>
      </sharedItems>
    </cacheField>
    <cacheField name="Dt. Scad." numFmtId="0">
      <sharedItems containsNonDate="0" containsString="0" containsBlank="1" count="1">
        <m/>
      </sharedItems>
    </cacheField>
    <cacheField name="Num Vs Ord" numFmtId="0">
      <sharedItems containsBlank="1" count="61">
        <s v="OA-25-3199"/>
        <s v="802/OP"/>
        <s v="563/OP"/>
        <s v="EMAIL 11/02/25"/>
        <s v="LCO2501058"/>
        <s v="LCO2501060"/>
        <s v="LCO2501152"/>
        <s v="LCO2501153"/>
        <s v="LCO2501154"/>
        <s v="LCO2501155"/>
        <s v="LCO2501156"/>
        <s v="LCO2501172"/>
        <s v="LCO2501173"/>
        <s v="25005794 OP"/>
        <s v="25OF022681-1"/>
        <s v="25OF025373-1"/>
        <s v="25OF025783-1"/>
        <s v="25OF026395-1"/>
        <s v="25OF026267-1"/>
        <s v="551/OP"/>
        <s v="564/OP"/>
        <s v="568/OP"/>
        <s v="569/OP"/>
        <s v="790/OP"/>
        <s v="P250008306-1"/>
        <s v="4300399501"/>
        <s v="566/OP"/>
        <s v="1527"/>
        <s v="1339"/>
        <s v="1494"/>
        <s v="22255"/>
        <s v="146558"/>
        <s v="37386"/>
        <s v="37499"/>
        <s v="715/OP"/>
        <s v="4500023958"/>
        <s v="4500023959"/>
        <s v="25018959 OP"/>
        <s v="25019906 OP"/>
        <s v="25019904 OP"/>
        <s v="AQ2510588"/>
        <s v="AQ2511028"/>
        <s v="BCF37524"/>
        <s v="BCF37110"/>
        <s v="11211"/>
        <s v="11212"/>
        <s v="4500242896"/>
        <s v="25001705 OC"/>
        <s v="25001706 OC"/>
        <s v="25001711 OC"/>
        <s v="25001710 OC"/>
        <s v="4519042072"/>
        <s v="100687"/>
        <s v="815/OP"/>
        <s v="A 2500364"/>
        <s v="2071431"/>
        <s v="2071432"/>
        <s v="F2513047"/>
        <s v="F2513048"/>
        <s v="F2513126"/>
        <m/>
      </sharedItems>
    </cacheField>
    <cacheField name="Data scadenza Contratto" numFmtId="0">
      <sharedItems containsNonDate="0" containsDate="1" containsString="0" containsBlank="1" minDate="2024-10-31T00:00:00" maxDate="2025-12-20T00:00:00" count="11">
        <d v="2025-11-20T00:00:00"/>
        <m/>
        <d v="2025-11-21T00:00:00"/>
        <d v="2025-11-18T00:00:00"/>
        <d v="2025-11-28T00:00:00"/>
        <d v="2025-11-03T00:00:00"/>
        <d v="2025-12-19T00:00:00"/>
        <d v="2025-11-13T00:00:00"/>
        <d v="2025-09-10T00:00:00"/>
        <d v="2024-10-31T00:00:00"/>
        <d v="2025-10-13T00:00:00"/>
      </sharedItems>
    </cacheField>
    <cacheField name="Estero" numFmtId="0">
      <sharedItems containsBlank="1" count="4">
        <s v="No"/>
        <s v="Sì"/>
        <s v="?"/>
        <m/>
      </sharedItems>
    </cacheField>
    <cacheField name="CAP" numFmtId="0">
      <sharedItems containsString="0" containsBlank="1" containsNumber="1" containsInteger="1" minValue="0" maxValue="1" count="3">
        <n v="1"/>
        <n v="0"/>
        <m/>
      </sharedItems>
    </cacheField>
    <cacheField name="giorno ritiro 1" numFmtId="0">
      <sharedItems containsBlank="1" count="3">
        <m/>
        <s v="martedì"/>
        <s v="mercoledì"/>
      </sharedItems>
    </cacheField>
    <cacheField name="giorno ritiro 2" numFmtId="0">
      <sharedItems containsBlank="1" count="2">
        <m/>
        <s v="venerdì"/>
      </sharedItems>
    </cacheField>
    <cacheField name="resa" numFmtId="0">
      <sharedItems containsString="0" containsBlank="1" containsNumber="1" containsInteger="1" minValue="3" maxValue="13" count="5">
        <m/>
        <n v="5"/>
        <n v="6"/>
        <n v="13"/>
        <n v="3"/>
      </sharedItems>
    </cacheField>
    <cacheField name="Num DOC" numFmtId="0">
      <sharedItems containsBlank="1" count="1471">
        <s v="557/800"/>
        <s v="802/0"/>
        <s v="563/800"/>
        <s v="244/0"/>
        <s v="266/0"/>
        <s v="768/0"/>
        <s v="770/0"/>
        <s v="796/0"/>
        <s v="797/0"/>
        <s v="798/0"/>
        <s v="799/0"/>
        <s v="800/0"/>
        <s v="813/0"/>
        <s v="814/0"/>
        <s v="776/0"/>
        <s v="777/0"/>
        <s v="778/0"/>
        <s v="791/0"/>
        <s v="792/0"/>
        <s v="731/0"/>
        <s v="732/0"/>
        <s v="784/0"/>
        <s v="785/0"/>
        <s v="786/0"/>
        <s v="795/0"/>
        <s v="817/0"/>
        <s v="818/0"/>
        <s v="819/0"/>
        <s v="820/0"/>
        <s v="821/0"/>
        <s v="822/0"/>
        <s v="825/0"/>
        <s v="828/0"/>
        <s v="829/0"/>
        <s v="551/800"/>
        <s v="564/800"/>
        <s v="568/800"/>
        <s v="569/800"/>
        <s v="790/0"/>
        <s v="787/0"/>
        <s v="806/0"/>
        <s v="566/800"/>
        <s v="801/0"/>
        <s v="532/800"/>
        <s v="561/800"/>
        <s v="779/0"/>
        <s v="811/0"/>
        <s v="823/0"/>
        <s v="699/0"/>
        <s v="700/0"/>
        <s v="735/0"/>
        <s v="789/0"/>
        <s v="715/0"/>
        <s v="763/0"/>
        <s v="764/0"/>
        <s v="781/0"/>
        <s v="816/0"/>
        <s v="826/0"/>
        <s v="788/0"/>
        <s v="570/800"/>
        <s v="793/0"/>
        <s v="475/800"/>
        <s v="827/0"/>
        <s v="830/0"/>
        <s v="571/800"/>
        <s v="804/0"/>
        <s v="805/0"/>
        <s v="812/0"/>
        <s v="824/0"/>
        <s v="808/0"/>
        <s v="809/0"/>
        <s v="722/0"/>
        <s v="815/0"/>
        <s v="531/800"/>
        <s v="559/800"/>
        <s v="560/800"/>
        <s v="803/0"/>
        <s v="807/0"/>
        <s v="810/0"/>
        <m/>
        <s v="533/800" u="1"/>
        <s v="780/0" u="1"/>
        <s v="565/800" u="1"/>
        <s v="567/800" u="1"/>
        <s v="562/800" u="1"/>
        <s v="558/800" u="1"/>
        <s v="703/0" u="1"/>
        <s v="794/0" u="1"/>
        <s v="521/800" u="1"/>
        <s v="742/0" u="1"/>
        <s v="743/0" u="1"/>
        <s v="769/0" u="1"/>
        <s v="771/0" u="1"/>
        <s v="522/800" u="1"/>
        <s v="536/800" u="1"/>
        <s v="537/800" u="1"/>
        <s v="547/800" u="1"/>
        <s v="556/800" u="1"/>
        <s v="553/800" u="1"/>
        <s v="783/0" u="1"/>
        <s v="555/800" u="1"/>
        <s v="552/800" u="1"/>
        <s v="548/800" u="1"/>
        <s v="554/800" u="1"/>
        <s v="749/0" u="1"/>
        <s v="782/0" u="1"/>
        <s v="504/800" u="1"/>
        <s v="505/800" u="1"/>
        <s v="526/800" u="1"/>
        <s v="535/800" u="1"/>
        <s v="762/0" u="1"/>
        <s v="376/0" u="1"/>
        <s v="544/800" u="1"/>
        <s v="733/0" u="1"/>
        <s v="428/800" u="1"/>
        <s v="549/800" u="1"/>
        <s v="734/0" u="1"/>
        <s v="767/0" u="1"/>
        <s v="546/800" u="1"/>
        <s v="437/800" u="1"/>
        <s v="550/800" u="1"/>
        <s v="765/0" u="1"/>
        <s v="746/0" u="1"/>
        <s v="758/0" u="1"/>
        <s v="761/0" u="1"/>
        <s v="772/0" u="1"/>
        <s v="773/0" u="1"/>
        <s v="774/0" u="1"/>
        <s v="775/0" u="1"/>
        <s v="540/800" u="1"/>
        <s v="541/800" u="1"/>
        <s v="766/0" u="1"/>
        <s v="545/800" u="1"/>
        <s v="745/0" u="1"/>
        <s v="530/800" u="1"/>
        <s v="754/0" u="1"/>
        <s v="755/0" u="1"/>
        <s v="519/800" u="1"/>
        <s v="757/0" u="1"/>
        <s v="525/800" u="1"/>
        <s v="470/800" u="1"/>
        <s v="539/800" u="1"/>
        <s v="756/0" u="1"/>
        <s v="542/800" u="1"/>
        <s v="543/800" u="1"/>
        <s v="752/0" u="1"/>
        <s v="523/800" u="1"/>
        <s v="524/800" u="1"/>
        <s v="750/0" u="1"/>
        <s v="527/800" u="1"/>
        <s v="528/800" u="1"/>
        <s v="759/0" u="1"/>
        <s v="760/0" u="1"/>
        <s v="517/800" u="1"/>
        <s v="375/0" u="1"/>
        <s v="681/0" u="1"/>
        <s v="686/0" u="1"/>
        <s v="726/0" u="1"/>
        <s v="738/0" u="1"/>
        <s v="739/0" u="1"/>
        <s v="719/0" u="1"/>
        <s v="744/0" u="1"/>
        <s v="751/0" u="1"/>
        <s v="515/800" u="1"/>
        <s v="516/800" u="1"/>
        <s v="534/800" u="1"/>
        <s v="725/0" u="1"/>
        <s v="449/800" u="1"/>
        <s v="538/800" u="1"/>
        <s v="506/800" u="1"/>
        <s v="507/800" u="1"/>
        <s v="508/800" u="1"/>
        <s v="509/800" u="1"/>
        <s v="529/800" u="1"/>
        <s v="495/800" u="1"/>
        <s v="496/800" u="1"/>
        <s v="748/0" u="1"/>
        <s v="718/0" u="1"/>
        <s v="411/800" u="1"/>
        <s v="730/0" u="1"/>
        <s v="512/800" u="1"/>
        <s v="513/800" u="1"/>
        <s v="741/0" u="1"/>
        <s v="520/800" u="1"/>
        <s v="498/800" u="1"/>
        <s v="483/800" u="1"/>
        <s v="514/800" u="1"/>
        <s v="747/0" u="1"/>
        <s v="753/0" u="1"/>
        <s v="629/0" u="1"/>
        <s v="489/800" u="1"/>
        <s v="484/800" u="1"/>
        <s v="486/800" u="1"/>
        <s v="502/800" u="1"/>
        <s v="737/0" u="1"/>
        <s v="409/0" u="1"/>
        <s v="691/0" u="1"/>
        <s v="518/800" u="1"/>
        <s v="408/0" u="1"/>
        <s v="723/0" u="1"/>
        <s v="740/0" u="1"/>
        <s v="721/0" u="1"/>
        <s v="724/0" u="1"/>
        <s v="720/0" u="1"/>
        <s v="487/800" u="1"/>
        <s v="729/0" u="1"/>
        <s v="510/800" u="1"/>
        <s v="455/800" u="1"/>
        <s v="511/800" u="1"/>
        <s v="497/800" u="1"/>
        <s v="423/800" u="1"/>
        <s v="462/800" u="1"/>
        <s v="474/800" u="1"/>
        <s v="499/800" u="1"/>
        <s v="696/0" u="1"/>
        <s v="503/800" u="1"/>
        <s v="438/800" u="1"/>
        <s v="713/0" u="1"/>
        <s v="714/0" u="1"/>
        <s v="728/0" u="1"/>
        <s v="215/800" u="1"/>
        <s v="717/0" u="1"/>
        <s v="467/800" u="1"/>
        <s v="468/800" u="1"/>
        <s v="727/0" u="1"/>
        <s v="492/800" u="1"/>
        <s v="708/0" u="1"/>
        <s v="493/800" u="1"/>
        <s v="348/800" u="1"/>
        <s v="349/800" u="1"/>
        <s v="429/800" u="1"/>
        <s v="430/800" u="1"/>
        <s v="431/800" u="1"/>
        <s v="432/800" u="1"/>
        <s v="433/800" u="1"/>
        <s v="434/800" u="1"/>
        <s v="435/800" u="1"/>
        <s v="374/0" u="1"/>
        <s v="372/800" u="1"/>
        <s v="407/0" u="1"/>
        <s v="478/800" u="1"/>
        <s v="473/800" u="1"/>
        <s v="490/800" u="1"/>
        <s v="469/800" u="1"/>
        <s v="491/800" u="1"/>
        <s v="477/800" u="1"/>
        <s v="716/0" u="1"/>
        <s v="488/800" u="1"/>
        <s v="692/0" u="1"/>
        <s v="607/0" u="1"/>
        <s v="659/0" u="1"/>
        <s v="464/800" u="1"/>
        <s v="399/800" u="1"/>
        <s v="400/800" u="1"/>
        <s v="690/0" u="1"/>
        <s v="710/0" u="1"/>
        <s v="702/0" u="1"/>
        <s v="479/800" u="1"/>
        <s v="480/800" u="1"/>
        <s v="481/800" u="1"/>
        <s v="406/0" u="1"/>
        <s v="706/0" u="1"/>
        <s v="445/800" u="1"/>
        <s v="638/0" u="1"/>
        <s v="709/0" u="1"/>
        <s v="373/0" u="1"/>
        <s v="446/800" u="1"/>
        <s v="476/800" u="1"/>
        <s v="705/0" u="1"/>
        <s v="461/800" u="1"/>
        <s v="452/800" u="1"/>
        <s v="679/0" u="1"/>
        <s v="711/0" u="1"/>
        <s v="485/800" u="1"/>
        <s v="648/0" u="1"/>
        <s v="405/0" u="1"/>
        <s v="685/0" u="1"/>
        <s v="712/0" u="1"/>
        <s v="454/800" u="1"/>
        <s v="388/800" u="1"/>
        <s v="392/800" u="1"/>
        <s v="393/800" u="1"/>
        <s v="441/800" u="1"/>
        <s v="442/800" u="1"/>
        <s v="443/800" u="1"/>
        <s v="444/800" u="1"/>
        <s v="672/0" u="1"/>
        <s v="701/0" u="1"/>
        <s v="675/0" u="1"/>
        <s v="440/800" u="1"/>
        <s v="450/800" u="1"/>
        <s v="427/800" u="1"/>
        <s v="466/800" u="1"/>
        <s v="482/800" u="1"/>
        <s v="451/800" u="1"/>
        <s v="472/800" u="1"/>
        <s v="704/0" u="1"/>
        <s v="335/0" u="1"/>
        <s v="406/800" u="1"/>
        <s v="459/800" u="1"/>
        <s v="471/800" u="1"/>
        <s v="594/0" u="1"/>
        <s v="597/0" u="1"/>
        <s v="456/800" u="1"/>
        <s v="698/0" u="1"/>
        <s v="372/0" u="1"/>
        <s v="403/0" u="1"/>
        <s v="404/0" u="1"/>
        <s v="448/800" u="1"/>
        <s v="676/0" u="1"/>
        <s v="693/0" u="1"/>
        <s v="650/0" u="1"/>
        <s v="465/800" u="1"/>
        <s v="412/800" u="1"/>
        <s v="689/0" u="1"/>
        <s v="381/800" u="1"/>
        <s v="391/800" u="1"/>
        <s v="415/800" u="1"/>
        <s v="463/800" u="1"/>
        <s v="694/0" u="1"/>
        <s v="593/0" u="1"/>
        <s v="457/800" u="1"/>
        <s v="695/0" u="1"/>
        <s v="657/0" u="1"/>
        <s v="678/0" u="1"/>
        <s v="422/800" u="1"/>
        <s v="697/0" u="1"/>
        <s v="458/800" u="1"/>
        <s v="418/800" u="1"/>
        <s v="417/800" u="1"/>
        <s v="460/800" u="1"/>
        <s v="554/0" u="1"/>
        <s v="401/800" u="1"/>
        <s v="335/800" u="1"/>
        <s v="687/0" u="1"/>
        <s v="688/0" u="1"/>
        <s v="683/0" u="1"/>
        <s v="684/0" u="1"/>
        <s v="677/0" u="1"/>
        <s v="682/0" u="1"/>
        <s v="646/0" u="1"/>
        <s v="658/0" u="1"/>
        <s v="420/800" u="1"/>
        <s v="666/0" u="1"/>
        <s v="371/800" u="1"/>
        <s v="359/800" u="1"/>
        <s v="360/800" u="1"/>
        <s v="371/0" u="1"/>
        <s v="680/0" u="1"/>
        <s v="453/800" u="1"/>
        <s v="552/0" u="1"/>
        <s v="576/0" u="1"/>
        <s v="642/0" u="1"/>
        <s v="633/0" u="1"/>
        <s v="634/0" u="1"/>
        <s v="635/0" u="1"/>
        <s v="382/800" u="1"/>
        <s v="383/800" u="1"/>
        <s v="384/800" u="1"/>
        <s v="385/800" u="1"/>
        <s v="660/0" u="1"/>
        <s v="673/0" u="1"/>
        <s v="409/800" u="1"/>
        <s v="424/800" u="1"/>
        <s v="674/0" u="1"/>
        <s v="555/0" u="1"/>
        <s v="608/0" u="1"/>
        <s v="96/0" u="1"/>
        <s v="670/0" u="1"/>
        <s v="671/0" u="1"/>
        <s v="662/0" u="1"/>
        <s v="592/0" u="1"/>
        <s v="626/0" u="1"/>
        <s v="422/0" u="1"/>
        <s v="447/800" u="1"/>
        <s v="419/800" u="1"/>
        <s v="655/0" u="1"/>
        <s v="668/0" u="1"/>
        <s v="395/800" u="1"/>
        <s v="403/800" u="1"/>
        <s v="661/0" u="1"/>
        <s v="352/800" u="1"/>
        <s v="353/800" u="1"/>
        <s v="669/0" u="1"/>
        <s v="368/800" u="1"/>
        <s v="647/0" u="1"/>
        <s v="665/0" u="1"/>
        <s v="416/800" u="1"/>
        <s v="663/0" u="1"/>
        <s v="426/800" u="1"/>
        <s v="436/800" u="1"/>
        <s v="596/0" u="1"/>
        <s v="600/0" u="1"/>
        <s v="414/800" u="1"/>
        <s v="396/800" u="1"/>
        <s v="410/800" u="1"/>
        <s v="641/0" u="1"/>
        <s v="618/0" u="1"/>
        <s v="619/0" u="1"/>
        <s v="630/0" u="1"/>
        <s v="639/0" u="1"/>
        <s v="640/0" u="1"/>
        <s v="421/800" u="1"/>
        <s v="566/0" u="1"/>
        <s v="631/0" u="1"/>
        <s v="425/800" u="1"/>
        <s v="398/800" u="1"/>
        <s v="652/0" u="1"/>
        <s v="622/0" u="1"/>
        <s v="624/0" u="1"/>
        <s v="265/0" u="1"/>
        <s v="268/0" u="1"/>
        <s v="620/0" u="1"/>
        <s v="628/0" u="1"/>
        <s v="664/0" u="1"/>
        <s v="334/0" u="1"/>
        <s v="397/800" u="1"/>
        <s v="369/800" u="1"/>
        <s v="413/800" u="1"/>
        <s v="404/800" u="1"/>
        <s v="378/800" u="1"/>
        <s v="407/800" u="1"/>
        <s v="252/0" u="1"/>
        <s v="269/0" u="1"/>
        <s v="636/0" u="1"/>
        <s v="95/0" u="1"/>
        <s v="599/0" u="1"/>
        <s v="358/800" u="1"/>
        <s v="637/0" u="1"/>
        <s v="262/0" u="1"/>
        <s v="270/0" u="1"/>
        <s v="653/0" u="1"/>
        <s v="654/0" u="1"/>
        <s v="627/0" u="1"/>
        <s v="603/0" u="1"/>
        <s v="649/0" u="1"/>
        <s v="366/800" u="1"/>
        <s v="405/800" u="1"/>
        <s v="262/800" u="1"/>
        <s v="374/800" u="1"/>
        <s v="375/800" u="1"/>
        <s v="408/800" u="1"/>
        <s v="355/800" u="1"/>
        <s v="601/0" u="1"/>
        <s v="254/0" u="1"/>
        <s v="267/0" u="1"/>
        <s v="580/0" u="1"/>
        <s v="616/0" u="1"/>
        <s v="617/0" u="1"/>
        <s v="632/0" u="1"/>
        <s v="656/0" u="1"/>
        <s v="394/800" u="1"/>
        <s v="589/0" u="1"/>
        <s v="517/0" u="1"/>
        <s v="625/0" u="1"/>
        <s v="402/800" u="1"/>
        <s v="644/0" u="1"/>
        <s v="645/0" u="1"/>
        <s v="651/0" u="1"/>
        <s v="387/800" u="1"/>
        <s v="604/0" u="1"/>
        <s v="476/0" u="1"/>
        <s v="477/0" u="1"/>
        <s v="667/0" u="1"/>
        <s v="623/0" u="1"/>
        <s v="377/800" u="1"/>
        <s v="365/800" u="1"/>
        <s v="586/0" u="1"/>
        <s v="513/0" u="1"/>
        <s v="571/0" u="1"/>
        <s v="598/0" u="1"/>
        <s v="242/0" u="1"/>
        <s v="245/0" u="1"/>
        <s v="246/0" u="1"/>
        <s v="253/0" u="1"/>
        <s v="389/800" u="1"/>
        <s v="613/0" u="1"/>
        <s v="615/0" u="1"/>
        <s v="545/0" u="1"/>
        <s v="581/0" u="1"/>
        <s v="588/0" u="1"/>
        <s v="531/0" u="1"/>
        <s v="551/0" u="1"/>
        <s v="609/0" u="1"/>
        <s v="610/0" u="1"/>
        <s v="370/800" u="1"/>
        <s v="380/800" u="1"/>
        <s v="224/0" u="1"/>
        <s v="621/0" u="1"/>
        <s v="561/0" u="1"/>
        <s v="286/800" u="1"/>
        <s v="354/800" u="1"/>
        <s v="591/0" u="1"/>
        <s v="590/0" u="1"/>
        <s v="611/0" u="1"/>
        <s v="532/0" u="1"/>
        <s v="560/0" u="1"/>
        <s v="595/0" u="1"/>
        <s v="326/800" u="1"/>
        <s v="390/800" u="1"/>
        <s v="564/0" u="1"/>
        <s v="573/0" u="1"/>
        <s v="364/800" u="1"/>
        <s v="386/800" u="1"/>
        <s v="577/0" u="1"/>
        <s v="612/0" u="1"/>
        <s v="251/800" u="1"/>
        <s v="252/800" u="1"/>
        <s v="373/800" u="1"/>
        <s v="283/800" u="1"/>
        <s v="370/0" u="1"/>
        <s v="402/0" u="1"/>
        <s v="643/0" u="1"/>
        <s v="587/0" u="1"/>
        <s v="367/800" u="1"/>
        <s v="250/0" u="1"/>
        <s v="264/0" u="1"/>
        <s v="343/800" u="1"/>
        <s v="559/0" u="1"/>
        <s v="584/0" u="1"/>
        <s v="342/800" u="1"/>
        <s v="516/0" u="1"/>
        <s v="336/800" u="1"/>
        <s v="379/800" u="1"/>
        <s v="614/0" u="1"/>
        <s v="530/0" u="1"/>
        <s v="549/0" u="1"/>
        <s v="579/0" u="1"/>
        <s v="356/800" u="1"/>
        <s v="570/0" u="1"/>
        <s v="376/800" u="1"/>
        <s v="339/800" u="1"/>
        <s v="567/0" u="1"/>
        <s v="484/0" u="1"/>
        <s v="363/800" u="1"/>
        <s v="362/800" u="1"/>
        <s v="493/0" u="1"/>
        <s v="519/0" u="1"/>
        <s v="553/0" u="1"/>
        <s v="341/800" u="1"/>
        <s v="605/0" u="1"/>
        <s v="606/0" u="1"/>
        <s v="572/0" u="1"/>
        <s v="329/800" u="1"/>
        <s v="279/0" u="1"/>
        <s v="427/0" u="1"/>
        <s v="276/800" u="1"/>
        <s v="277/800" u="1"/>
        <s v="310/800" u="1"/>
        <s v="602/0" u="1"/>
        <s v="556/0" u="1"/>
        <s v="568/0" u="1"/>
        <s v="569/0" u="1"/>
        <s v="230/0" u="1"/>
        <s v="236/0" u="1"/>
        <s v="247/0" u="1"/>
        <s v="350/800" u="1"/>
        <s v="347/800" u="1"/>
        <s v="547/0" u="1"/>
        <s v="340/800" u="1"/>
        <s v="536/0" u="1"/>
        <s v="357/800" u="1"/>
        <s v="248/800" u="1"/>
        <s v="562/0" u="1"/>
        <s v="582/0" u="1"/>
        <s v="563/0" u="1"/>
        <s v="179/800" u="1"/>
        <s v="331/800" u="1"/>
        <s v="529/0" u="1"/>
        <s v="548/0" u="1"/>
        <s v="574/0" u="1"/>
        <s v="309/800" u="1"/>
        <s v="361/800" u="1"/>
        <s v="243/0" u="1"/>
        <s v="248/0" u="1"/>
        <s v="251/0" u="1"/>
        <s v="578/0" u="1"/>
        <s v="428/0" u="1"/>
        <s v="557/0" u="1"/>
        <s v="558/0" u="1"/>
        <s v="245/800" u="1"/>
        <s v="302/800" u="1"/>
        <s v="303/800" u="1"/>
        <s v="304/800" u="1"/>
        <s v="305/800" u="1"/>
        <s v="306/800" u="1"/>
        <s v="319/800" u="1"/>
        <s v="320/800" u="1"/>
        <s v="321/800" u="1"/>
        <s v="322/800" u="1"/>
        <s v="550/0" u="1"/>
        <s v="538/0" u="1"/>
        <s v="539/0" u="1"/>
        <s v="540/0" u="1"/>
        <s v="311/800" u="1"/>
        <s v="346/800" u="1"/>
        <s v="471/0" u="1"/>
        <s v="212/0" u="1"/>
        <s v="324/800" u="1"/>
        <s v="345/800" u="1"/>
        <s v="456/0" u="1"/>
        <s v="544/0" u="1"/>
        <s v="491/0" u="1"/>
        <s v="333/800" u="1"/>
        <s v="475/0" u="1"/>
        <s v="565/0" u="1"/>
        <s v="585/0" u="1"/>
        <s v="337/800" u="1"/>
        <s v="232/0" u="1"/>
        <s v="234/0" u="1"/>
        <s v="240/0" u="1"/>
        <s v="520/0" u="1"/>
        <s v="583/0" u="1"/>
        <s v="499/0" u="1"/>
        <s v="501/0" u="1"/>
        <s v="327/800" u="1"/>
        <s v="274/800" u="1"/>
        <s v="460/0" u="1"/>
        <s v="258/800" u="1"/>
        <s v="333/0" u="1"/>
        <s v="351/800" u="1"/>
        <s v="537/0" u="1"/>
        <s v="510/0" u="1"/>
        <s v="296/800" u="1"/>
        <s v="521/0" u="1"/>
        <s v="528/0" u="1"/>
        <s v="546/0" u="1"/>
        <s v="500/0" u="1"/>
        <s v="341/0" u="1"/>
        <s v="465/0" u="1"/>
        <s v="328/800" u="1"/>
        <s v="522/0" u="1"/>
        <s v="315/800" u="1"/>
        <s v="535/0" u="1"/>
        <s v="541/0" u="1"/>
        <s v="332/800" u="1"/>
        <s v="292/800" u="1"/>
        <s v="293/800" u="1"/>
        <s v="229/0" u="1"/>
        <s v="238/0" u="1"/>
        <s v="241/0" u="1"/>
        <s v="263/0" u="1"/>
        <s v="512/0" u="1"/>
        <s v="434/0" u="1"/>
        <s v="439/0" u="1"/>
        <s v="440/0" u="1"/>
        <s v="441/0" u="1"/>
        <s v="455/0" u="1"/>
        <s v="508/0" u="1"/>
        <s v="518/0" u="1"/>
        <s v="527/0" u="1"/>
        <s v="280/800" u="1"/>
        <s v="330/800" u="1"/>
        <s v="317/800" u="1"/>
        <s v="543/0" u="1"/>
        <s v="75/800" u="1"/>
        <s v="533/0" u="1"/>
        <s v="307/800" u="1"/>
        <s v="313/800" u="1"/>
        <s v="94/0" u="1"/>
        <s v="495/0" u="1"/>
        <s v="284/800" u="1"/>
        <s v="285/800" u="1"/>
        <s v="325/800" u="1"/>
        <s v="316/800" u="1"/>
        <s v="318/800" u="1"/>
        <s v="228/0" u="1"/>
        <s v="231/0" u="1"/>
        <s v="235/0" u="1"/>
        <s v="314/800" u="1"/>
        <s v="468/0" u="1"/>
        <s v="514/0" u="1"/>
        <s v="515/0" u="1"/>
        <s v="437/0" u="1"/>
        <s v="526/0" u="1"/>
        <s v="452/0" u="1"/>
        <s v="509/0" u="1"/>
        <s v="507/0" u="1"/>
        <s v="265/800" u="1"/>
        <s v="524/0" u="1"/>
        <s v="398/0" u="1"/>
        <s v="191/800" u="1"/>
        <s v="505/0" u="1"/>
        <s v="502/0" u="1"/>
        <s v="323/800" u="1"/>
        <s v="363/0" u="1"/>
        <s v="459/0" u="1"/>
        <s v="479/0" u="1"/>
        <s v="480/0" u="1"/>
        <s v="474/0" u="1"/>
        <s v="542/0" u="1"/>
        <s v="469/0" u="1"/>
        <s v="470/0" u="1"/>
        <s v="312/800" u="1"/>
        <s v="222/0" u="1"/>
        <s v="454/0" u="1"/>
        <s v="481/0" u="1"/>
        <s v="431/0" u="1"/>
        <s v="282/800" u="1"/>
        <s v="461/0" u="1"/>
        <s v="492/0" u="1"/>
        <s v="301/800" u="1"/>
        <s v="192/800" u="1"/>
        <s v="193/800" u="1"/>
        <s v="196/800" u="1"/>
        <s v="208/800" u="1"/>
        <s v="237/0" u="1"/>
        <s v="300/800" u="1"/>
        <s v="299/800" u="1"/>
        <s v="308/800" u="1"/>
        <s v="269/800" u="1"/>
        <s v="503/0" u="1"/>
        <s v="511/0" u="1"/>
        <s v="448/0" u="1"/>
        <s v="482/0" u="1"/>
        <s v="473/0" u="1"/>
        <s v="279/800" u="1"/>
        <s v="294/800" u="1"/>
        <s v="467/0" u="1"/>
        <s v="523/0" u="1"/>
        <s v="433/0" u="1"/>
        <s v="438/0" u="1"/>
        <s v="464/0" u="1"/>
        <s v="453/0" u="1"/>
        <s v="242/800" u="1"/>
        <s v="332/0" u="1"/>
        <s v="298/800" u="1"/>
        <s v="487/0" u="1"/>
        <s v="489/0" u="1"/>
        <s v="490/0" u="1"/>
        <s v="483/0" u="1"/>
        <s v="534/0" u="1"/>
        <s v="295/800" u="1"/>
        <s v="291/800" u="1"/>
        <s v="270/800" u="1"/>
        <s v="297/800" u="1"/>
        <s v="498/0" u="1"/>
        <s v="466/0" u="1"/>
        <s v="488/0" u="1"/>
        <s v="525/0" u="1"/>
        <s v="420/0" u="1"/>
        <s v="202/800" u="1"/>
        <s v="289/800" u="1"/>
        <s v="235/800" u="1"/>
        <s v="236/800" u="1"/>
        <s v="237/800" u="1"/>
        <s v="241/800" u="1"/>
        <s v="287/800" u="1"/>
        <s v="219/0" u="1"/>
        <s v="451/0" u="1"/>
        <s v="230/800" u="1"/>
        <s v="231/800" u="1"/>
        <s v="316/0" u="1"/>
        <s v="496/0" u="1"/>
        <s v="497/0" u="1"/>
        <s v="457/0" u="1"/>
        <s v="278/800" u="1"/>
        <s v="462/0" u="1"/>
        <s v="203/800" u="1"/>
        <s v="259/800" u="1"/>
        <s v="290/800" u="1"/>
        <s v="227/800" u="1"/>
        <s v="275/800" u="1"/>
        <s v="233/0" u="1"/>
        <s v="424/0" u="1"/>
        <s v="463/0" u="1"/>
        <s v="260/800" u="1"/>
        <s v="261/800" u="1"/>
        <s v="506/0" u="1"/>
        <s v="288/800" u="1"/>
        <s v="172/800" u="1"/>
        <s v="173/800" u="1"/>
        <s v="174/800" u="1"/>
        <s v="175/800" u="1"/>
        <s v="176/800" u="1"/>
        <s v="177/800" u="1"/>
        <s v="178/800" u="1"/>
        <s v="188/800" u="1"/>
        <s v="189/800" u="1"/>
        <s v="216/800" u="1"/>
        <s v="217/800" u="1"/>
        <s v="218/800" u="1"/>
        <s v="219/800" u="1"/>
        <s v="220/800" u="1"/>
        <s v="221/800" u="1"/>
        <s v="485/0" u="1"/>
        <s v="478/0" u="1"/>
        <s v="446/0" u="1"/>
        <s v="385/0" u="1"/>
        <s v="472/0" u="1"/>
        <s v="350/0" u="1"/>
        <s v="257/800" u="1"/>
        <s v="271/800" u="1"/>
        <s v="272/800" u="1"/>
        <s v="504/0" u="1"/>
        <s v="273/800" u="1"/>
        <s v="247/800" u="1"/>
        <s v="263/800" u="1"/>
        <s v="426/0" u="1"/>
        <s v="442/0" u="1"/>
        <s v="494/0" u="1"/>
        <s v="218/0" u="1"/>
        <s v="246/800" u="1"/>
        <s v="232/800" u="1"/>
        <s v="417/0" u="1"/>
        <s v="195/800" u="1"/>
        <s v="421/0" u="1"/>
        <s v="205/800" u="1"/>
        <s v="303/0" u="1"/>
        <s v="304/0" u="1"/>
        <s v="281/800" u="1"/>
        <s v="352/0" u="1"/>
        <s v="354/0" u="1"/>
        <s v="355/0" u="1"/>
        <s v="445/0" u="1"/>
        <s v="429/0" u="1"/>
        <s v="458/0" u="1"/>
        <s v="264/800" u="1"/>
        <s v="255/800" u="1"/>
        <s v="395/0" u="1"/>
        <s v="486/0" u="1"/>
        <s v="423/0" u="1"/>
        <s v="411/0" u="1"/>
        <s v="430/0" u="1"/>
        <s v="358/0" u="1"/>
        <s v="256/800" u="1"/>
        <s v="249/800" u="1"/>
        <s v="266/800" u="1"/>
        <s v="267/800" u="1"/>
        <s v="268/800" u="1"/>
        <s v="250/800" u="1"/>
        <s v="229/800" u="1"/>
        <s v="450/0" u="1"/>
        <s v="353/0" u="1"/>
        <s v="194/800" u="1"/>
        <s v="223/0" u="1"/>
        <s v="226/0" u="1"/>
        <s v="397/0" u="1"/>
        <s v="190/800" u="1"/>
        <s v="253/800" u="1"/>
        <s v="389/0" u="1"/>
        <s v="214/800" u="1"/>
        <s v="206/800" u="1"/>
        <s v="444/0" u="1"/>
        <s v="435/0" u="1"/>
        <s v="436/0" u="1"/>
        <s v="209/800" u="1"/>
        <s v="226/800" u="1"/>
        <s v="243/800" u="1"/>
        <s v="254/800" u="1"/>
        <s v="238/800" u="1"/>
        <s v="239/800" u="1"/>
        <s v="240/800" u="1"/>
        <s v="369/0" u="1"/>
        <s v="225/0" u="1"/>
        <s v="386/0" u="1"/>
        <s v="233/800" u="1"/>
        <s v="449/0" u="1"/>
        <s v="383/0" u="1"/>
        <s v="384/0" u="1"/>
        <s v="302/0" u="1"/>
        <s v="349/0" u="1"/>
        <s v="394/0" u="1"/>
        <s v="443/0" u="1"/>
        <s v="228/800" u="1"/>
        <s v="212/800" u="1"/>
        <s v="401/0" u="1"/>
        <s v="220/0" u="1"/>
        <s v="222/800" u="1"/>
        <s v="392/0" u="1"/>
        <s v="391/0" u="1"/>
        <s v="278/0" u="1"/>
        <s v="211/800" u="1"/>
        <s v="197/800" u="1"/>
        <s v="224/800" u="1"/>
        <s v="377/0" u="1"/>
        <s v="416/0" u="1"/>
        <s v="388/0" u="1"/>
        <s v="348/0" u="1"/>
        <s v="364/0" u="1"/>
        <s v="410/0" u="1"/>
        <s v="210/800" u="1"/>
        <s v="447/0" u="1"/>
        <s v="196/0" u="1"/>
        <s v="221/0" u="1"/>
        <s v="415/0" u="1"/>
        <s v="387/0" u="1"/>
        <s v="331/0" u="1"/>
        <s v="213/800" u="1"/>
        <s v="223/800" u="1"/>
        <s v="299/0" u="1"/>
        <s v="325/0" u="1"/>
        <s v="146/800" u="1"/>
        <s v="198/800" u="1"/>
        <s v="225/800" u="1"/>
        <s v="202/0" u="1"/>
        <s v="139/800" u="1"/>
        <s v="419/0" u="1"/>
        <s v="432/0" u="1"/>
        <s v="301/0" u="1"/>
        <s v="318/0" u="1"/>
        <s v="324/0" u="1"/>
        <s v="351/0" u="1"/>
        <s v="209/0" u="1"/>
        <s v="390/0" u="1"/>
        <s v="326/0" u="1"/>
        <s v="322/0" u="1"/>
        <s v="381/0" u="1"/>
        <s v="148/800" u="1"/>
        <s v="85/800" u="1"/>
        <s v="135/800" u="1"/>
        <s v="136/800" u="1"/>
        <s v="137/800" u="1"/>
        <s v="140/800" u="1"/>
        <s v="399/0" u="1"/>
        <s v="340/0" u="1"/>
        <s v="180/800" u="1"/>
        <s v="378/0" u="1"/>
        <s v="204/800" u="1"/>
        <s v="207/800" u="1"/>
        <s v="183/800" u="1"/>
        <s v="412/0" u="1"/>
        <s v="155/800" u="1"/>
        <s v="338/0" u="1"/>
        <s v="152/800" u="1"/>
        <s v="360/0" u="1"/>
        <s v="396/0" u="1"/>
        <s v="122/800" u="1"/>
        <s v="149/800" u="1"/>
        <s v="162/800" u="1"/>
        <s v="181/800" u="1"/>
        <s v="195/0" u="1"/>
        <s v="199/0" u="1"/>
        <s v="217/0" u="1"/>
        <s v="200/800" u="1"/>
        <s v="323/0" u="1"/>
        <s v="339/0" u="1"/>
        <s v="365/0" u="1"/>
        <s v="101/0" u="1"/>
        <s v="184/800" u="1"/>
        <s v="93/0" u="1"/>
        <s v="344/0" u="1"/>
        <s v="425/0" u="1"/>
        <s v="21/0" u="1"/>
        <s v="216/0" u="1"/>
        <s v="157/800" u="1"/>
        <s v="187/800" u="1"/>
        <s v="321/0" u="1"/>
        <s v="201/800" u="1"/>
        <s v="346/0" u="1"/>
        <s v="199/800" u="1"/>
        <s v="186/800" u="1"/>
        <s v="204/0" u="1"/>
        <s v="413/0" u="1"/>
        <s v="393/0" u="1"/>
        <s v="418/0" u="1"/>
        <s v="187/0" u="1"/>
        <s v="189/0" u="1"/>
        <s v="190/0" u="1"/>
        <s v="193/0" u="1"/>
        <s v="198/0" u="1"/>
        <s v="182/800" u="1"/>
        <s v="366/0" u="1"/>
        <s v="368/0" u="1"/>
        <s v="400/0" u="1"/>
        <s v="227/0" u="1"/>
        <s v="367/0" u="1"/>
        <s v="285/0" u="1"/>
        <s v="286/0" u="1"/>
        <s v="356/0" u="1"/>
        <s v="169/800" u="1"/>
        <s v="382/0" u="1"/>
        <s v="161/800" u="1"/>
        <s v="328/0" u="1"/>
        <s v="357/0" u="1"/>
        <s v="380/0" u="1"/>
        <s v="359/0" u="1"/>
        <s v="185/800" u="1"/>
        <s v="336/0" u="1"/>
        <s v="379/0" u="1"/>
        <s v="337/0" u="1"/>
        <s v="159/800" u="1"/>
        <s v="211/0" u="1"/>
        <s v="192/0" u="1"/>
        <s v="194/0" u="1"/>
        <s v="166/800" u="1"/>
        <s v="293/0" u="1"/>
        <s v="153/800" u="1"/>
        <s v="154/800" u="1"/>
        <s v="138/0" u="1"/>
        <s v="111/800" u="1"/>
        <s v="112/800" u="1"/>
        <s v="113/800" u="1"/>
        <s v="114/800" u="1"/>
        <s v="116/800" u="1"/>
        <s v="117/800" u="1"/>
        <s v="329/0" u="1"/>
        <s v="169/0" u="1"/>
        <s v="258/0" u="1"/>
        <s v="361/0" u="1"/>
        <s v="287/0" u="1"/>
        <s v="319/0" u="1"/>
        <s v="320/0" u="1"/>
        <s v="362/0" u="1"/>
        <s v="311/0" u="1"/>
        <s v="163/800" u="1"/>
        <s v="164/800" u="1"/>
        <s v="295/0" u="1"/>
        <s v="347/0" u="1"/>
        <s v="171/800" u="1"/>
        <s v="261/0" u="1"/>
        <s v="288/0" u="1"/>
        <s v="294/0" u="1"/>
        <s v="296/0" u="1"/>
        <s v="183/0" u="1"/>
        <s v="186/0" u="1"/>
        <s v="188/0" u="1"/>
        <s v="191/0" u="1"/>
        <s v="197/0" u="1"/>
        <s v="345/0" u="1"/>
        <s v="167/800" u="1"/>
        <s v="165/800" u="1"/>
        <s v="170/800" u="1"/>
        <s v="160/800" u="1"/>
        <s v="158/800" u="1"/>
        <s v="1249/0" u="1"/>
        <s v="1357/0" u="1"/>
        <s v="91/0" u="1"/>
        <s v="1365/0" u="1"/>
        <s v="1167/0" u="1"/>
        <s v="1166/0" u="1"/>
        <s v="1374/0" u="1"/>
        <s v="66/0" u="1"/>
        <s v="1252/0" u="1"/>
        <s v="1247/0" u="1"/>
        <s v="867/0" u="1"/>
        <s v="1019/0" u="1"/>
        <s v="33/800" u="1"/>
        <s v="53/800" u="1"/>
        <s v="57/800" u="1"/>
        <s v="1153/0" u="1"/>
        <s v="1275/0" u="1"/>
        <s v="1102/0" u="1"/>
        <s v="37/0" u="1"/>
        <s v="98/0" u="1"/>
        <s v="105/0" u="1"/>
        <s v="126/0" u="1"/>
        <s v="1109/0" u="1"/>
        <s v="1139/0" u="1"/>
        <s v="7/0" u="1"/>
        <s v="154/0" u="1"/>
        <s v="1316/0" u="1"/>
        <s v="1098/0" u="1"/>
        <s v="1154/0" u="1"/>
        <s v="24/0" u="1"/>
        <s v="883/0" u="1"/>
        <s v="1145/0" u="1"/>
        <s v="1175/0" u="1"/>
        <s v="854/0" u="1"/>
        <s v="51/0" u="1"/>
        <s v="281/0" u="1"/>
        <s v="96/800" u="1"/>
        <s v="58/800" u="1"/>
        <s v="99/800" u="1"/>
        <s v="327/0" u="1"/>
        <s v="112/0" u="1"/>
        <s v="57/0" u="1"/>
        <s v="29/800" u="1"/>
        <s v="156/800" u="1"/>
        <s v="305/0" u="1"/>
        <s v="310/0" u="1"/>
        <s v="143/800" u="1"/>
        <s v="317/0" u="1"/>
        <s v="141/800" u="1"/>
        <s v="144/800" u="1"/>
        <s v="83/800" u="1"/>
        <s v="110/800" u="1"/>
        <s v="123/800" u="1"/>
        <s v="147/800" u="1"/>
        <s v="168/800" u="1"/>
        <s v="308/0" u="1"/>
        <s v="309/0" u="1"/>
        <s v="315/0" u="1"/>
        <s v="73/0" u="1"/>
        <s v="30/800" u="1"/>
        <s v="343/0" u="1"/>
        <s v="122/0" u="1"/>
        <s v="313/0" u="1"/>
        <s v="208/0" u="1"/>
        <s v="312/0" u="1"/>
        <s v="72/0" u="1"/>
        <s v="115/800" u="1"/>
        <s v="151/800" u="1"/>
        <s v="145/800" u="1"/>
        <s v="184/0" u="1"/>
        <s v="274/0" u="1"/>
        <s v="282/0" u="1"/>
        <s v="330/0" u="1"/>
        <s v="292/0" u="1"/>
        <s v="342/0" u="1"/>
        <s v="172/0" u="1"/>
        <s v="174/0" u="1"/>
        <s v="180/0" u="1"/>
        <s v="182/0" u="1"/>
        <s v="71/0" u="1"/>
        <s v="289/0" u="1"/>
        <s v="290/0" u="1"/>
        <s v="291/0" u="1"/>
        <s v="142/800" u="1"/>
        <s v="100/0" u="1"/>
        <s v="203/0" u="1"/>
        <s v="306/0" u="1"/>
        <s v="92/0" u="1"/>
        <s v="132/800" u="1"/>
        <s v="103/800" u="1"/>
        <s v="104/800" u="1"/>
        <s v="150/800" u="1"/>
        <s v="255/0" u="1"/>
        <s v="128/800" u="1"/>
        <s v="85/0" u="1"/>
        <s v="283/0" u="1"/>
        <s v="89/800" u="1"/>
        <s v="130/800" u="1"/>
        <s v="74/800" u="1"/>
        <s v="138/800" u="1"/>
        <s v="297/0" u="1"/>
        <s v="127/800" u="1"/>
        <s v="136/0" u="1"/>
        <s v="273/0" u="1"/>
        <s v="276/0" u="1"/>
        <s v="134/800" u="1"/>
        <s v="100/800" u="1"/>
        <s v="215/0" u="1"/>
        <s v="207/0" u="1"/>
        <s v="257/0" u="1"/>
        <s v="86/800" u="1"/>
        <s v="275/0" u="1"/>
        <s v="314/0" u="1"/>
        <s v="109/0" u="1"/>
        <s v="152/0" u="1"/>
        <s v="280/0" u="1"/>
        <s v="256/0" u="1"/>
        <s v="84/800" u="1"/>
        <s v="201/0" u="1"/>
        <s v="214/0" u="1"/>
        <s v="307/0" u="1"/>
        <s v="120/0" u="1"/>
        <s v="213/0" u="1"/>
        <s v="259/0" u="1"/>
        <s v="298/0" u="1"/>
        <s v="148/0" u="1"/>
        <s v="167/0" u="1"/>
        <s v="210/0" u="1"/>
        <s v="249/0" u="1"/>
        <s v="55/0" u="1"/>
        <s v="129/800" u="1"/>
        <s v="131/800" u="1"/>
        <s v="177/0" u="1"/>
        <s v="106/800" u="1"/>
        <s v="107/800" u="1"/>
        <s v="133/800" u="1"/>
        <s v="111/0" u="1"/>
        <s v="93/800" u="1"/>
        <s v="119/800" u="1"/>
        <s v="120/800" u="1"/>
        <s v="125/800" u="1"/>
        <s v="137/0" u="1"/>
        <s v="239/0" u="1"/>
        <s v="23/0" u="1"/>
        <s v="163/0" u="1"/>
        <s v="171/0" u="1"/>
        <s v="175/0" u="1"/>
        <s v="176/0" u="1"/>
        <s v="178/0" u="1"/>
        <s v="179/0" u="1"/>
        <s v="181/0" u="1"/>
        <s v="130/0" u="1"/>
        <s v="153/0" u="1"/>
        <s v="103/0" u="1"/>
        <s v="145/0" u="1"/>
        <s v="200/0" u="1"/>
        <s v="79/800" u="1"/>
        <s v="97/800" u="1"/>
        <s v="98/800" u="1"/>
        <s v="260/0" u="1"/>
        <s v="300/0" u="1"/>
        <s v="118/800" u="1"/>
        <s v="109/800" u="1"/>
        <s v="134/0" u="1"/>
        <s v="88/800" u="1"/>
        <s v="147/0" u="1"/>
        <s v="110/0" u="1"/>
        <s v="284/0" u="1"/>
        <s v="102/800" u="1"/>
        <s v="150/0" u="1"/>
        <s v="131/0" u="1"/>
        <s v="140/0" u="1"/>
        <s v="26/0" u="1"/>
        <s v="29/0" u="1"/>
        <s v="121/800" u="1"/>
        <s v="28/800" u="1"/>
        <s v="54/0" u="1"/>
        <s v="124/0" u="1"/>
        <s v="277/0" u="1"/>
        <s v="30/0" u="1"/>
        <s v="102/0" u="1"/>
        <s v="108/0" u="1"/>
        <s v="54/800" u="1"/>
        <s v="82/800" u="1"/>
        <s v="59/800" u="1"/>
        <s v="108/800" u="1"/>
        <s v="271/0" u="1"/>
        <s v="272/0" u="1"/>
        <s v="101/800" u="1"/>
        <s v="157/0" u="1"/>
        <s v="170/0" u="1"/>
        <s v="105/800" u="1"/>
        <s v="139/0" u="1"/>
        <s v="142/0" u="1"/>
        <s v="53/0" u="1"/>
        <s v="132/0" u="1"/>
        <s v="133/0" u="1"/>
        <s v="156/0" u="1"/>
        <s v="159/0" u="1"/>
        <s v="161/0" u="1"/>
        <s v="162/0" u="1"/>
        <s v="173/0" u="1"/>
        <s v="141/0" u="1"/>
        <s v="25/0" u="1"/>
        <s v="205/0" u="1"/>
        <s v="146/0" u="1"/>
        <s v="66/800" u="1"/>
        <s v="206/0" u="1"/>
        <s v="135/0" u="1"/>
        <s v="55/800" u="1"/>
        <s v="76/800" u="1"/>
        <s v="143/0" u="1"/>
        <s v="144/0" u="1"/>
        <s v="28/0" u="1"/>
        <s v="65/800" u="1"/>
        <s v="80/800" u="1"/>
        <s v="151/0" u="1"/>
        <s v="94/800" u="1"/>
        <s v="95/800" u="1"/>
        <s v="84/0" u="1"/>
        <s v="119/0" u="1"/>
        <s v="81/800" u="1"/>
        <s v="155/0" u="1"/>
        <s v="158/0" u="1"/>
        <s v="92/800" u="1"/>
        <s v="82/0" u="1"/>
        <s v="70/0" u="1"/>
        <s v="86/0" u="1"/>
        <s v="165/0" u="1"/>
        <s v="166/0" u="1"/>
        <s v="14/0" u="1"/>
        <s v="149/0" u="1"/>
        <s v="160/0" u="1"/>
        <s v="164/0" u="1"/>
        <s v="71/800" u="1"/>
        <s v="72/800" u="1"/>
        <s v="87/800" u="1"/>
        <s v="91/800" u="1"/>
        <s v="68/800" u="1"/>
        <s v="128/0" u="1"/>
        <s v="107/0" u="1"/>
        <s v="9/0" u="1"/>
        <s v="42/0" u="1"/>
        <s v="43/800" u="1"/>
        <s v="90/800" u="1"/>
        <s v="104/0" u="1"/>
        <s v="73/800" u="1"/>
        <s v="41/0" u="1"/>
        <s v="70/800" u="1"/>
        <s v="17/800" u="1"/>
        <s v="40/0" u="1"/>
        <s v="129/0" u="1"/>
        <s v="27/0" u="1"/>
        <s v="39/0" u="1"/>
        <s v="23/800" u="1"/>
        <s v="24/800" u="1"/>
        <s v="77/800" u="1"/>
        <s v="123/0" u="1"/>
        <s v="34/800" u="1"/>
        <s v="35/800" u="1"/>
        <s v="36/800" u="1"/>
        <s v="37/800" u="1"/>
        <s v="63/800" u="1"/>
        <s v="168/0" u="1"/>
        <s v="115/0" u="1"/>
        <s v="27/800" u="1"/>
        <s v="48/800" u="1"/>
        <s v="20/0" u="1"/>
        <s v="48/0" u="1"/>
        <s v="50/0" u="1"/>
        <s v="78/800" u="1"/>
        <s v="46/800" u="1"/>
        <s v="51/800" u="1"/>
        <s v="116/0" u="1"/>
        <s v="117/0" u="1"/>
        <s v="127/0" u="1"/>
        <s v="11/0" u="1"/>
        <s v="67/800" u="1"/>
        <s v="38/0" u="1"/>
        <s v="45/800" u="1"/>
        <s v="47/800" u="1"/>
        <s v="46/0" u="1"/>
        <s v="47/0" u="1"/>
        <s v="19/0" u="1"/>
        <s v="43/0" u="1"/>
        <s v="68/0" u="1"/>
        <s v="106/0" u="1"/>
        <s v="114/0" u="1"/>
        <s v="125/0" u="1"/>
        <s v="50/800" u="1"/>
        <s v="61/800" u="1"/>
        <s v="69/800" u="1"/>
        <s v="63/0" u="1"/>
        <s v="64/0" u="1"/>
        <s v="87/0" u="1"/>
        <s v="88/0" u="1"/>
        <s v="64/800" u="1"/>
        <s v="31/800" u="1"/>
        <s v="99/0" u="1"/>
        <s v="61/0" u="1"/>
        <s v="62/800" u="1"/>
        <s v="56/800" u="1"/>
        <s v="81/0" u="1"/>
        <s v="8/0" u="1"/>
        <s v="22/0" u="1"/>
        <s v="6/0" u="1"/>
        <s v="118/0" u="1"/>
        <s v="60/800" u="1"/>
        <s v="76/0" u="1"/>
        <s v="3/0" u="1"/>
        <s v="16/0" u="1"/>
        <s v="17/0" u="1"/>
        <s v="65/0" u="1"/>
        <s v="14/800" u="1"/>
        <s v="15/800" u="1"/>
        <s v="97/0" u="1"/>
        <s v="49/800" u="1"/>
        <s v="79/0" u="1"/>
        <s v="83/0" u="1"/>
        <s v="113/0" u="1"/>
        <s v="67/0" u="1"/>
        <s v="10/0" u="1"/>
        <s v="2/0" u="1"/>
        <s v="59/0" u="1"/>
        <s v="40/800" u="1"/>
        <s v="52/0" u="1"/>
        <s v="4/800" u="1"/>
        <s v="5/800" u="1"/>
        <s v="6/800" u="1"/>
        <s v="7/800" u="1"/>
        <s v="8/800" u="1"/>
        <s v="44/800" u="1"/>
        <s v="1/0" u="1"/>
        <s v="58/0" u="1"/>
        <s v="89/0" u="1"/>
        <s v="90/0" u="1"/>
        <s v="9/800" u="1"/>
        <s v="5/0" u="1"/>
        <s v="42/800" u="1"/>
        <s v="2/800" u="1"/>
        <s v="3/800" u="1"/>
        <s v="4/0" u="1"/>
        <s v="15/0" u="1"/>
        <s v="10/800" u="1"/>
        <s v="45/0" u="1"/>
        <s v="62/0" u="1"/>
        <s v="33/0" u="1"/>
        <s v="56/0" u="1"/>
        <s v="77/0" u="1"/>
        <s v="52/800" u="1"/>
        <s v="21/800" u="1"/>
        <s v="22/800" u="1"/>
        <s v="13/0" u="1"/>
        <s v="41/800" u="1"/>
        <s v="60/0" u="1"/>
        <s v="74/0" u="1"/>
        <s v="75/0" u="1"/>
        <s v="39/800" u="1"/>
        <s v="36/0" u="1"/>
        <s v="31/0" u="1"/>
        <s v="32/0" u="1"/>
        <s v="34/0" u="1"/>
        <s v="69/0" u="1"/>
        <s v="78/0" u="1"/>
        <s v="38/800" u="1"/>
        <s v="44/0" u="1"/>
        <s v="26/800" u="1"/>
        <s v="80/0" u="1"/>
        <s v="25/800" u="1"/>
        <s v="18/800" u="1"/>
        <s v="11/800" u="1"/>
        <s v="12/0" u="1"/>
        <s v="18/0" u="1"/>
        <s v="49/0" u="1"/>
        <s v="16/800" u="1"/>
        <s v="35/0" u="1"/>
        <s v="12/800" u="1"/>
        <s v="19/800" u="1"/>
        <s v="20/800" u="1"/>
        <s v="1/800" u="1"/>
        <s v="13/800" u="1"/>
        <s v="736/0" u="1"/>
        <s v="707/0" u="1"/>
        <s v="501/800" u="1"/>
        <s v="500/800" u="1"/>
        <s v="494/800" u="1"/>
        <s v="439/800" u="1"/>
        <s v="338/800" u="1"/>
        <s v="575/0" u="1"/>
        <s v="334/800" u="1"/>
        <s v="23/333" u="1"/>
        <s v="114/333" u="1"/>
        <s v="115/333" u="1"/>
        <s v="120/333" u="1"/>
        <s v="244/800" u="1"/>
        <s v="86/333" u="1"/>
        <s v="113/333" u="1"/>
        <s v="116/333" u="1"/>
        <s v="119/333" u="1"/>
        <s v="118/333" u="1"/>
        <s v="109/333" u="1"/>
        <s v="104/333" u="1"/>
        <s v="96/333" u="1"/>
        <s v="103/333" u="1"/>
        <s v="100/333" u="1"/>
        <s v="101/333" u="1"/>
        <s v="102/333" u="1"/>
        <s v="234/800" u="1"/>
        <s v="92/333" u="1"/>
        <s v="97/333" u="1"/>
        <s v="73/333" u="1"/>
        <s v="94/333" u="1"/>
        <s v="93/333" u="1"/>
        <s v="83/333" u="1"/>
        <s v="90/333" u="1"/>
        <s v="87/333" u="1"/>
        <s v="89/333" u="1"/>
        <s v="91/333" u="1"/>
        <s v="77/333" u="1"/>
        <s v="79/333" u="1"/>
        <s v="88/333" u="1"/>
        <s v="80/333" u="1"/>
        <s v="414/0" u="1"/>
        <s v="78/333" u="1"/>
        <s v="72/333" u="1"/>
        <s v="64/333" u="1"/>
        <s v="124/800" u="1"/>
        <s v="68/333" u="1"/>
        <s v="69/333" u="1"/>
        <s v="65/333" u="1"/>
        <s v="66/333" u="1"/>
        <s v="859/800" u="1"/>
        <s v="63/333" u="1"/>
        <s v="56/333" u="1"/>
        <s v="67/333" u="1"/>
        <s v="126/800" u="1"/>
        <s v="62/333" u="1"/>
        <s v="54/333" u="1"/>
        <s v="48/333" u="1"/>
        <s v="53/333" u="1"/>
        <s v="61/333" u="1"/>
        <s v="58/333" u="1"/>
        <s v="60/333" u="1"/>
        <s v="59/333" u="1"/>
        <s v="185/0" u="1"/>
        <s v="858/800" u="1"/>
      </sharedItems>
    </cacheField>
    <cacheField name="provenienza" numFmtId="0">
      <sharedItems containsBlank="1" count="3">
        <s v="SPOT"/>
        <s v="DA CONTRATTO"/>
        <m/>
      </sharedItems>
    </cacheField>
    <cacheField name="P/C" numFmtId="0">
      <sharedItems containsBlank="1" count="3">
        <s v="P"/>
        <s v="C"/>
        <m/>
      </sharedItems>
    </cacheField>
    <cacheField name="Giorni (Data sped. utile)" numFmtId="0" databaseField="0">
      <fieldGroup base="13">
        <rangePr groupBy="days" startDate="2025-11-10T00:00:00" endDate="2026-01-16T00:00:00"/>
        <groupItems count="368">
          <s v="&lt;10/11/20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6/01/2026"/>
        </groupItems>
      </fieldGroup>
    </cacheField>
    <cacheField name="Mesi (Data sped. utile)" numFmtId="0" databaseField="0">
      <fieldGroup base="13">
        <rangePr groupBy="months" startDate="2025-11-10T00:00:00" endDate="2026-01-16T00:00:00"/>
        <groupItems count="14">
          <s v="&lt;10/11/20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16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0"/>
    <x v="1"/>
    <x v="0"/>
    <x v="1"/>
    <x v="0"/>
    <x v="0"/>
    <x v="0"/>
    <x v="1"/>
    <x v="0"/>
    <x v="0"/>
    <x v="0"/>
    <x v="1"/>
    <x v="1"/>
    <x v="0"/>
    <x v="1"/>
    <x v="1"/>
    <x v="1"/>
    <x v="1"/>
    <x v="0"/>
    <x v="0"/>
    <x v="0"/>
    <x v="0"/>
    <x v="0"/>
    <x v="0"/>
    <x v="1"/>
    <x v="1"/>
    <x v="0"/>
    <x v="0"/>
  </r>
  <r>
    <x v="0"/>
    <x v="2"/>
    <x v="2"/>
    <x v="0"/>
    <x v="2"/>
    <x v="1"/>
    <x v="1"/>
    <x v="2"/>
    <x v="2"/>
    <x v="2"/>
    <x v="2"/>
    <x v="0"/>
    <x v="2"/>
    <x v="0"/>
    <x v="1"/>
    <x v="1"/>
    <x v="0"/>
    <x v="0"/>
    <x v="2"/>
    <x v="0"/>
    <x v="0"/>
    <x v="0"/>
    <x v="1"/>
    <x v="1"/>
    <x v="0"/>
    <x v="2"/>
    <x v="2"/>
    <x v="2"/>
    <x v="2"/>
    <x v="0"/>
    <x v="0"/>
    <x v="0"/>
    <x v="0"/>
    <x v="1"/>
    <x v="0"/>
    <x v="2"/>
    <x v="2"/>
    <x v="0"/>
    <x v="0"/>
  </r>
  <r>
    <x v="0"/>
    <x v="3"/>
    <x v="3"/>
    <x v="1"/>
    <x v="3"/>
    <x v="2"/>
    <x v="2"/>
    <x v="3"/>
    <x v="3"/>
    <x v="3"/>
    <x v="3"/>
    <x v="0"/>
    <x v="3"/>
    <x v="0"/>
    <x v="2"/>
    <x v="1"/>
    <x v="0"/>
    <x v="0"/>
    <x v="3"/>
    <x v="0"/>
    <x v="0"/>
    <x v="0"/>
    <x v="2"/>
    <x v="2"/>
    <x v="1"/>
    <x v="0"/>
    <x v="3"/>
    <x v="3"/>
    <x v="0"/>
    <x v="1"/>
    <x v="1"/>
    <x v="0"/>
    <x v="0"/>
    <x v="1"/>
    <x v="0"/>
    <x v="3"/>
    <x v="1"/>
    <x v="0"/>
    <x v="0"/>
  </r>
  <r>
    <x v="0"/>
    <x v="4"/>
    <x v="4"/>
    <x v="1"/>
    <x v="4"/>
    <x v="2"/>
    <x v="2"/>
    <x v="3"/>
    <x v="3"/>
    <x v="3"/>
    <x v="3"/>
    <x v="0"/>
    <x v="3"/>
    <x v="0"/>
    <x v="2"/>
    <x v="1"/>
    <x v="0"/>
    <x v="0"/>
    <x v="3"/>
    <x v="0"/>
    <x v="0"/>
    <x v="0"/>
    <x v="2"/>
    <x v="2"/>
    <x v="1"/>
    <x v="0"/>
    <x v="3"/>
    <x v="3"/>
    <x v="0"/>
    <x v="1"/>
    <x v="1"/>
    <x v="0"/>
    <x v="0"/>
    <x v="1"/>
    <x v="0"/>
    <x v="3"/>
    <x v="1"/>
    <x v="0"/>
    <x v="0"/>
  </r>
  <r>
    <x v="0"/>
    <x v="5"/>
    <x v="5"/>
    <x v="1"/>
    <x v="5"/>
    <x v="3"/>
    <x v="3"/>
    <x v="4"/>
    <x v="4"/>
    <x v="4"/>
    <x v="4"/>
    <x v="0"/>
    <x v="4"/>
    <x v="0"/>
    <x v="3"/>
    <x v="0"/>
    <x v="0"/>
    <x v="0"/>
    <x v="4"/>
    <x v="1"/>
    <x v="0"/>
    <x v="0"/>
    <x v="3"/>
    <x v="3"/>
    <x v="1"/>
    <x v="3"/>
    <x v="4"/>
    <x v="4"/>
    <x v="3"/>
    <x v="1"/>
    <x v="1"/>
    <x v="0"/>
    <x v="0"/>
    <x v="0"/>
    <x v="0"/>
    <x v="4"/>
    <x v="1"/>
    <x v="0"/>
    <x v="0"/>
  </r>
  <r>
    <x v="0"/>
    <x v="6"/>
    <x v="6"/>
    <x v="1"/>
    <x v="5"/>
    <x v="3"/>
    <x v="3"/>
    <x v="5"/>
    <x v="5"/>
    <x v="5"/>
    <x v="3"/>
    <x v="1"/>
    <x v="5"/>
    <x v="0"/>
    <x v="4"/>
    <x v="2"/>
    <x v="0"/>
    <x v="0"/>
    <x v="0"/>
    <x v="1"/>
    <x v="0"/>
    <x v="0"/>
    <x v="3"/>
    <x v="3"/>
    <x v="1"/>
    <x v="3"/>
    <x v="4"/>
    <x v="4"/>
    <x v="3"/>
    <x v="1"/>
    <x v="1"/>
    <x v="0"/>
    <x v="0"/>
    <x v="2"/>
    <x v="0"/>
    <x v="5"/>
    <x v="1"/>
    <x v="0"/>
    <x v="0"/>
  </r>
  <r>
    <x v="0"/>
    <x v="7"/>
    <x v="6"/>
    <x v="1"/>
    <x v="5"/>
    <x v="3"/>
    <x v="3"/>
    <x v="6"/>
    <x v="6"/>
    <x v="5"/>
    <x v="4"/>
    <x v="0"/>
    <x v="4"/>
    <x v="0"/>
    <x v="4"/>
    <x v="2"/>
    <x v="0"/>
    <x v="0"/>
    <x v="4"/>
    <x v="1"/>
    <x v="0"/>
    <x v="0"/>
    <x v="3"/>
    <x v="3"/>
    <x v="1"/>
    <x v="3"/>
    <x v="4"/>
    <x v="4"/>
    <x v="3"/>
    <x v="1"/>
    <x v="1"/>
    <x v="0"/>
    <x v="0"/>
    <x v="2"/>
    <x v="0"/>
    <x v="5"/>
    <x v="1"/>
    <x v="0"/>
    <x v="0"/>
  </r>
  <r>
    <x v="0"/>
    <x v="8"/>
    <x v="7"/>
    <x v="1"/>
    <x v="2"/>
    <x v="3"/>
    <x v="3"/>
    <x v="7"/>
    <x v="7"/>
    <x v="6"/>
    <x v="5"/>
    <x v="0"/>
    <x v="6"/>
    <x v="1"/>
    <x v="5"/>
    <x v="1"/>
    <x v="0"/>
    <x v="0"/>
    <x v="1"/>
    <x v="0"/>
    <x v="0"/>
    <x v="0"/>
    <x v="3"/>
    <x v="3"/>
    <x v="0"/>
    <x v="1"/>
    <x v="2"/>
    <x v="2"/>
    <x v="1"/>
    <x v="0"/>
    <x v="0"/>
    <x v="0"/>
    <x v="0"/>
    <x v="1"/>
    <x v="0"/>
    <x v="6"/>
    <x v="1"/>
    <x v="0"/>
    <x v="0"/>
  </r>
  <r>
    <x v="0"/>
    <x v="9"/>
    <x v="7"/>
    <x v="1"/>
    <x v="2"/>
    <x v="3"/>
    <x v="3"/>
    <x v="8"/>
    <x v="8"/>
    <x v="6"/>
    <x v="4"/>
    <x v="0"/>
    <x v="4"/>
    <x v="1"/>
    <x v="5"/>
    <x v="1"/>
    <x v="0"/>
    <x v="0"/>
    <x v="4"/>
    <x v="0"/>
    <x v="0"/>
    <x v="0"/>
    <x v="3"/>
    <x v="3"/>
    <x v="0"/>
    <x v="1"/>
    <x v="2"/>
    <x v="2"/>
    <x v="1"/>
    <x v="0"/>
    <x v="0"/>
    <x v="0"/>
    <x v="0"/>
    <x v="1"/>
    <x v="0"/>
    <x v="6"/>
    <x v="1"/>
    <x v="0"/>
    <x v="0"/>
  </r>
  <r>
    <x v="0"/>
    <x v="10"/>
    <x v="8"/>
    <x v="1"/>
    <x v="2"/>
    <x v="3"/>
    <x v="3"/>
    <x v="5"/>
    <x v="5"/>
    <x v="5"/>
    <x v="3"/>
    <x v="0"/>
    <x v="3"/>
    <x v="0"/>
    <x v="1"/>
    <x v="2"/>
    <x v="0"/>
    <x v="0"/>
    <x v="0"/>
    <x v="0"/>
    <x v="0"/>
    <x v="0"/>
    <x v="3"/>
    <x v="3"/>
    <x v="1"/>
    <x v="3"/>
    <x v="4"/>
    <x v="4"/>
    <x v="3"/>
    <x v="1"/>
    <x v="1"/>
    <x v="0"/>
    <x v="0"/>
    <x v="2"/>
    <x v="0"/>
    <x v="7"/>
    <x v="1"/>
    <x v="0"/>
    <x v="0"/>
  </r>
  <r>
    <x v="0"/>
    <x v="11"/>
    <x v="8"/>
    <x v="1"/>
    <x v="2"/>
    <x v="3"/>
    <x v="3"/>
    <x v="6"/>
    <x v="6"/>
    <x v="5"/>
    <x v="4"/>
    <x v="0"/>
    <x v="4"/>
    <x v="0"/>
    <x v="1"/>
    <x v="2"/>
    <x v="0"/>
    <x v="0"/>
    <x v="4"/>
    <x v="0"/>
    <x v="0"/>
    <x v="0"/>
    <x v="3"/>
    <x v="3"/>
    <x v="1"/>
    <x v="3"/>
    <x v="4"/>
    <x v="4"/>
    <x v="3"/>
    <x v="1"/>
    <x v="1"/>
    <x v="0"/>
    <x v="0"/>
    <x v="2"/>
    <x v="0"/>
    <x v="7"/>
    <x v="1"/>
    <x v="0"/>
    <x v="0"/>
  </r>
  <r>
    <x v="0"/>
    <x v="12"/>
    <x v="9"/>
    <x v="1"/>
    <x v="2"/>
    <x v="3"/>
    <x v="3"/>
    <x v="9"/>
    <x v="9"/>
    <x v="7"/>
    <x v="3"/>
    <x v="0"/>
    <x v="3"/>
    <x v="1"/>
    <x v="1"/>
    <x v="2"/>
    <x v="0"/>
    <x v="0"/>
    <x v="0"/>
    <x v="0"/>
    <x v="0"/>
    <x v="0"/>
    <x v="3"/>
    <x v="3"/>
    <x v="0"/>
    <x v="3"/>
    <x v="5"/>
    <x v="5"/>
    <x v="3"/>
    <x v="0"/>
    <x v="0"/>
    <x v="0"/>
    <x v="0"/>
    <x v="2"/>
    <x v="0"/>
    <x v="8"/>
    <x v="1"/>
    <x v="0"/>
    <x v="0"/>
  </r>
  <r>
    <x v="0"/>
    <x v="13"/>
    <x v="9"/>
    <x v="1"/>
    <x v="2"/>
    <x v="3"/>
    <x v="3"/>
    <x v="10"/>
    <x v="10"/>
    <x v="7"/>
    <x v="4"/>
    <x v="0"/>
    <x v="4"/>
    <x v="1"/>
    <x v="1"/>
    <x v="2"/>
    <x v="0"/>
    <x v="0"/>
    <x v="4"/>
    <x v="0"/>
    <x v="0"/>
    <x v="0"/>
    <x v="3"/>
    <x v="3"/>
    <x v="0"/>
    <x v="3"/>
    <x v="5"/>
    <x v="5"/>
    <x v="3"/>
    <x v="0"/>
    <x v="0"/>
    <x v="0"/>
    <x v="0"/>
    <x v="2"/>
    <x v="0"/>
    <x v="8"/>
    <x v="1"/>
    <x v="0"/>
    <x v="0"/>
  </r>
  <r>
    <x v="0"/>
    <x v="14"/>
    <x v="10"/>
    <x v="1"/>
    <x v="2"/>
    <x v="3"/>
    <x v="3"/>
    <x v="11"/>
    <x v="11"/>
    <x v="4"/>
    <x v="3"/>
    <x v="0"/>
    <x v="3"/>
    <x v="0"/>
    <x v="1"/>
    <x v="0"/>
    <x v="0"/>
    <x v="0"/>
    <x v="0"/>
    <x v="0"/>
    <x v="0"/>
    <x v="0"/>
    <x v="3"/>
    <x v="3"/>
    <x v="1"/>
    <x v="3"/>
    <x v="4"/>
    <x v="4"/>
    <x v="3"/>
    <x v="1"/>
    <x v="1"/>
    <x v="0"/>
    <x v="0"/>
    <x v="0"/>
    <x v="0"/>
    <x v="9"/>
    <x v="1"/>
    <x v="0"/>
    <x v="0"/>
  </r>
  <r>
    <x v="0"/>
    <x v="15"/>
    <x v="10"/>
    <x v="1"/>
    <x v="2"/>
    <x v="3"/>
    <x v="3"/>
    <x v="4"/>
    <x v="4"/>
    <x v="4"/>
    <x v="4"/>
    <x v="0"/>
    <x v="4"/>
    <x v="0"/>
    <x v="1"/>
    <x v="0"/>
    <x v="0"/>
    <x v="0"/>
    <x v="4"/>
    <x v="0"/>
    <x v="0"/>
    <x v="0"/>
    <x v="3"/>
    <x v="3"/>
    <x v="1"/>
    <x v="3"/>
    <x v="4"/>
    <x v="4"/>
    <x v="3"/>
    <x v="1"/>
    <x v="1"/>
    <x v="0"/>
    <x v="0"/>
    <x v="0"/>
    <x v="0"/>
    <x v="9"/>
    <x v="1"/>
    <x v="0"/>
    <x v="0"/>
  </r>
  <r>
    <x v="0"/>
    <x v="16"/>
    <x v="11"/>
    <x v="1"/>
    <x v="2"/>
    <x v="3"/>
    <x v="3"/>
    <x v="12"/>
    <x v="12"/>
    <x v="8"/>
    <x v="3"/>
    <x v="0"/>
    <x v="3"/>
    <x v="1"/>
    <x v="1"/>
    <x v="0"/>
    <x v="0"/>
    <x v="0"/>
    <x v="0"/>
    <x v="0"/>
    <x v="0"/>
    <x v="0"/>
    <x v="3"/>
    <x v="3"/>
    <x v="0"/>
    <x v="3"/>
    <x v="5"/>
    <x v="5"/>
    <x v="3"/>
    <x v="0"/>
    <x v="0"/>
    <x v="0"/>
    <x v="0"/>
    <x v="0"/>
    <x v="0"/>
    <x v="10"/>
    <x v="1"/>
    <x v="0"/>
    <x v="0"/>
  </r>
  <r>
    <x v="0"/>
    <x v="17"/>
    <x v="11"/>
    <x v="1"/>
    <x v="2"/>
    <x v="3"/>
    <x v="3"/>
    <x v="13"/>
    <x v="13"/>
    <x v="8"/>
    <x v="4"/>
    <x v="0"/>
    <x v="4"/>
    <x v="1"/>
    <x v="1"/>
    <x v="0"/>
    <x v="0"/>
    <x v="0"/>
    <x v="4"/>
    <x v="0"/>
    <x v="0"/>
    <x v="0"/>
    <x v="3"/>
    <x v="3"/>
    <x v="0"/>
    <x v="3"/>
    <x v="5"/>
    <x v="5"/>
    <x v="3"/>
    <x v="0"/>
    <x v="0"/>
    <x v="0"/>
    <x v="0"/>
    <x v="0"/>
    <x v="0"/>
    <x v="10"/>
    <x v="1"/>
    <x v="0"/>
    <x v="0"/>
  </r>
  <r>
    <x v="0"/>
    <x v="18"/>
    <x v="12"/>
    <x v="1"/>
    <x v="1"/>
    <x v="3"/>
    <x v="3"/>
    <x v="5"/>
    <x v="5"/>
    <x v="5"/>
    <x v="3"/>
    <x v="0"/>
    <x v="3"/>
    <x v="0"/>
    <x v="6"/>
    <x v="2"/>
    <x v="0"/>
    <x v="0"/>
    <x v="0"/>
    <x v="0"/>
    <x v="0"/>
    <x v="0"/>
    <x v="3"/>
    <x v="3"/>
    <x v="1"/>
    <x v="3"/>
    <x v="4"/>
    <x v="4"/>
    <x v="3"/>
    <x v="1"/>
    <x v="1"/>
    <x v="0"/>
    <x v="0"/>
    <x v="2"/>
    <x v="0"/>
    <x v="11"/>
    <x v="1"/>
    <x v="0"/>
    <x v="0"/>
  </r>
  <r>
    <x v="0"/>
    <x v="19"/>
    <x v="12"/>
    <x v="1"/>
    <x v="1"/>
    <x v="3"/>
    <x v="3"/>
    <x v="6"/>
    <x v="6"/>
    <x v="5"/>
    <x v="4"/>
    <x v="0"/>
    <x v="4"/>
    <x v="0"/>
    <x v="6"/>
    <x v="2"/>
    <x v="0"/>
    <x v="0"/>
    <x v="4"/>
    <x v="0"/>
    <x v="0"/>
    <x v="0"/>
    <x v="3"/>
    <x v="3"/>
    <x v="1"/>
    <x v="3"/>
    <x v="4"/>
    <x v="4"/>
    <x v="3"/>
    <x v="1"/>
    <x v="1"/>
    <x v="0"/>
    <x v="0"/>
    <x v="2"/>
    <x v="0"/>
    <x v="11"/>
    <x v="1"/>
    <x v="0"/>
    <x v="0"/>
  </r>
  <r>
    <x v="0"/>
    <x v="20"/>
    <x v="13"/>
    <x v="1"/>
    <x v="1"/>
    <x v="3"/>
    <x v="3"/>
    <x v="9"/>
    <x v="9"/>
    <x v="7"/>
    <x v="3"/>
    <x v="0"/>
    <x v="3"/>
    <x v="0"/>
    <x v="6"/>
    <x v="2"/>
    <x v="0"/>
    <x v="0"/>
    <x v="0"/>
    <x v="0"/>
    <x v="0"/>
    <x v="0"/>
    <x v="3"/>
    <x v="3"/>
    <x v="0"/>
    <x v="3"/>
    <x v="5"/>
    <x v="5"/>
    <x v="3"/>
    <x v="0"/>
    <x v="0"/>
    <x v="0"/>
    <x v="0"/>
    <x v="2"/>
    <x v="0"/>
    <x v="12"/>
    <x v="1"/>
    <x v="0"/>
    <x v="0"/>
  </r>
  <r>
    <x v="0"/>
    <x v="21"/>
    <x v="13"/>
    <x v="1"/>
    <x v="1"/>
    <x v="3"/>
    <x v="3"/>
    <x v="10"/>
    <x v="10"/>
    <x v="7"/>
    <x v="4"/>
    <x v="0"/>
    <x v="4"/>
    <x v="0"/>
    <x v="6"/>
    <x v="2"/>
    <x v="0"/>
    <x v="0"/>
    <x v="4"/>
    <x v="0"/>
    <x v="0"/>
    <x v="0"/>
    <x v="3"/>
    <x v="3"/>
    <x v="0"/>
    <x v="3"/>
    <x v="5"/>
    <x v="5"/>
    <x v="3"/>
    <x v="0"/>
    <x v="0"/>
    <x v="0"/>
    <x v="0"/>
    <x v="2"/>
    <x v="0"/>
    <x v="12"/>
    <x v="1"/>
    <x v="0"/>
    <x v="0"/>
  </r>
  <r>
    <x v="0"/>
    <x v="22"/>
    <x v="14"/>
    <x v="1"/>
    <x v="5"/>
    <x v="4"/>
    <x v="4"/>
    <x v="14"/>
    <x v="14"/>
    <x v="9"/>
    <x v="2"/>
    <x v="0"/>
    <x v="2"/>
    <x v="0"/>
    <x v="7"/>
    <x v="1"/>
    <x v="0"/>
    <x v="0"/>
    <x v="5"/>
    <x v="0"/>
    <x v="0"/>
    <x v="0"/>
    <x v="4"/>
    <x v="4"/>
    <x v="0"/>
    <x v="2"/>
    <x v="6"/>
    <x v="6"/>
    <x v="2"/>
    <x v="0"/>
    <x v="0"/>
    <x v="0"/>
    <x v="0"/>
    <x v="1"/>
    <x v="0"/>
    <x v="13"/>
    <x v="1"/>
    <x v="0"/>
    <x v="0"/>
  </r>
  <r>
    <x v="0"/>
    <x v="23"/>
    <x v="15"/>
    <x v="1"/>
    <x v="5"/>
    <x v="4"/>
    <x v="4"/>
    <x v="15"/>
    <x v="15"/>
    <x v="10"/>
    <x v="2"/>
    <x v="0"/>
    <x v="2"/>
    <x v="0"/>
    <x v="7"/>
    <x v="1"/>
    <x v="0"/>
    <x v="0"/>
    <x v="5"/>
    <x v="0"/>
    <x v="0"/>
    <x v="0"/>
    <x v="4"/>
    <x v="4"/>
    <x v="0"/>
    <x v="2"/>
    <x v="6"/>
    <x v="6"/>
    <x v="2"/>
    <x v="0"/>
    <x v="0"/>
    <x v="0"/>
    <x v="0"/>
    <x v="1"/>
    <x v="0"/>
    <x v="13"/>
    <x v="1"/>
    <x v="0"/>
    <x v="0"/>
  </r>
  <r>
    <x v="0"/>
    <x v="24"/>
    <x v="16"/>
    <x v="1"/>
    <x v="5"/>
    <x v="4"/>
    <x v="4"/>
    <x v="16"/>
    <x v="16"/>
    <x v="11"/>
    <x v="3"/>
    <x v="0"/>
    <x v="3"/>
    <x v="0"/>
    <x v="7"/>
    <x v="1"/>
    <x v="0"/>
    <x v="0"/>
    <x v="6"/>
    <x v="0"/>
    <x v="0"/>
    <x v="0"/>
    <x v="4"/>
    <x v="4"/>
    <x v="0"/>
    <x v="3"/>
    <x v="5"/>
    <x v="5"/>
    <x v="3"/>
    <x v="0"/>
    <x v="0"/>
    <x v="0"/>
    <x v="0"/>
    <x v="1"/>
    <x v="0"/>
    <x v="13"/>
    <x v="1"/>
    <x v="0"/>
    <x v="0"/>
  </r>
  <r>
    <x v="0"/>
    <x v="25"/>
    <x v="17"/>
    <x v="1"/>
    <x v="6"/>
    <x v="4"/>
    <x v="4"/>
    <x v="17"/>
    <x v="17"/>
    <x v="12"/>
    <x v="6"/>
    <x v="0"/>
    <x v="7"/>
    <x v="0"/>
    <x v="7"/>
    <x v="1"/>
    <x v="0"/>
    <x v="0"/>
    <x v="5"/>
    <x v="0"/>
    <x v="0"/>
    <x v="0"/>
    <x v="4"/>
    <x v="4"/>
    <x v="0"/>
    <x v="2"/>
    <x v="7"/>
    <x v="7"/>
    <x v="2"/>
    <x v="0"/>
    <x v="0"/>
    <x v="1"/>
    <x v="1"/>
    <x v="1"/>
    <x v="0"/>
    <x v="13"/>
    <x v="1"/>
    <x v="0"/>
    <x v="0"/>
  </r>
  <r>
    <x v="0"/>
    <x v="26"/>
    <x v="18"/>
    <x v="1"/>
    <x v="6"/>
    <x v="4"/>
    <x v="4"/>
    <x v="18"/>
    <x v="18"/>
    <x v="13"/>
    <x v="2"/>
    <x v="0"/>
    <x v="2"/>
    <x v="0"/>
    <x v="7"/>
    <x v="1"/>
    <x v="1"/>
    <x v="1"/>
    <x v="5"/>
    <x v="0"/>
    <x v="0"/>
    <x v="0"/>
    <x v="4"/>
    <x v="4"/>
    <x v="0"/>
    <x v="4"/>
    <x v="6"/>
    <x v="6"/>
    <x v="4"/>
    <x v="0"/>
    <x v="0"/>
    <x v="1"/>
    <x v="1"/>
    <x v="1"/>
    <x v="0"/>
    <x v="13"/>
    <x v="1"/>
    <x v="0"/>
    <x v="0"/>
  </r>
  <r>
    <x v="0"/>
    <x v="27"/>
    <x v="19"/>
    <x v="1"/>
    <x v="7"/>
    <x v="5"/>
    <x v="5"/>
    <x v="19"/>
    <x v="19"/>
    <x v="14"/>
    <x v="7"/>
    <x v="0"/>
    <x v="8"/>
    <x v="0"/>
    <x v="1"/>
    <x v="1"/>
    <x v="0"/>
    <x v="0"/>
    <x v="7"/>
    <x v="0"/>
    <x v="0"/>
    <x v="0"/>
    <x v="5"/>
    <x v="5"/>
    <x v="0"/>
    <x v="4"/>
    <x v="8"/>
    <x v="8"/>
    <x v="4"/>
    <x v="0"/>
    <x v="0"/>
    <x v="0"/>
    <x v="0"/>
    <x v="1"/>
    <x v="0"/>
    <x v="14"/>
    <x v="1"/>
    <x v="0"/>
    <x v="0"/>
  </r>
  <r>
    <x v="0"/>
    <x v="28"/>
    <x v="20"/>
    <x v="1"/>
    <x v="7"/>
    <x v="5"/>
    <x v="5"/>
    <x v="19"/>
    <x v="19"/>
    <x v="14"/>
    <x v="8"/>
    <x v="0"/>
    <x v="9"/>
    <x v="0"/>
    <x v="6"/>
    <x v="1"/>
    <x v="0"/>
    <x v="0"/>
    <x v="7"/>
    <x v="0"/>
    <x v="0"/>
    <x v="0"/>
    <x v="5"/>
    <x v="5"/>
    <x v="0"/>
    <x v="4"/>
    <x v="8"/>
    <x v="8"/>
    <x v="4"/>
    <x v="0"/>
    <x v="0"/>
    <x v="0"/>
    <x v="0"/>
    <x v="1"/>
    <x v="0"/>
    <x v="14"/>
    <x v="1"/>
    <x v="0"/>
    <x v="0"/>
  </r>
  <r>
    <x v="0"/>
    <x v="29"/>
    <x v="21"/>
    <x v="1"/>
    <x v="8"/>
    <x v="5"/>
    <x v="5"/>
    <x v="20"/>
    <x v="20"/>
    <x v="15"/>
    <x v="9"/>
    <x v="0"/>
    <x v="10"/>
    <x v="0"/>
    <x v="8"/>
    <x v="1"/>
    <x v="1"/>
    <x v="1"/>
    <x v="6"/>
    <x v="0"/>
    <x v="0"/>
    <x v="0"/>
    <x v="5"/>
    <x v="5"/>
    <x v="0"/>
    <x v="3"/>
    <x v="4"/>
    <x v="4"/>
    <x v="3"/>
    <x v="0"/>
    <x v="0"/>
    <x v="0"/>
    <x v="0"/>
    <x v="1"/>
    <x v="0"/>
    <x v="15"/>
    <x v="1"/>
    <x v="0"/>
    <x v="0"/>
  </r>
  <r>
    <x v="0"/>
    <x v="30"/>
    <x v="22"/>
    <x v="1"/>
    <x v="8"/>
    <x v="5"/>
    <x v="5"/>
    <x v="21"/>
    <x v="21"/>
    <x v="16"/>
    <x v="10"/>
    <x v="0"/>
    <x v="11"/>
    <x v="0"/>
    <x v="8"/>
    <x v="1"/>
    <x v="0"/>
    <x v="0"/>
    <x v="8"/>
    <x v="0"/>
    <x v="0"/>
    <x v="0"/>
    <x v="5"/>
    <x v="5"/>
    <x v="0"/>
    <x v="2"/>
    <x v="6"/>
    <x v="6"/>
    <x v="2"/>
    <x v="0"/>
    <x v="0"/>
    <x v="0"/>
    <x v="0"/>
    <x v="1"/>
    <x v="0"/>
    <x v="15"/>
    <x v="1"/>
    <x v="0"/>
    <x v="0"/>
  </r>
  <r>
    <x v="0"/>
    <x v="31"/>
    <x v="23"/>
    <x v="1"/>
    <x v="8"/>
    <x v="5"/>
    <x v="5"/>
    <x v="22"/>
    <x v="22"/>
    <x v="17"/>
    <x v="11"/>
    <x v="0"/>
    <x v="12"/>
    <x v="0"/>
    <x v="8"/>
    <x v="1"/>
    <x v="0"/>
    <x v="0"/>
    <x v="8"/>
    <x v="0"/>
    <x v="0"/>
    <x v="0"/>
    <x v="5"/>
    <x v="5"/>
    <x v="0"/>
    <x v="2"/>
    <x v="2"/>
    <x v="2"/>
    <x v="2"/>
    <x v="0"/>
    <x v="0"/>
    <x v="0"/>
    <x v="0"/>
    <x v="1"/>
    <x v="0"/>
    <x v="15"/>
    <x v="1"/>
    <x v="0"/>
    <x v="0"/>
  </r>
  <r>
    <x v="0"/>
    <x v="32"/>
    <x v="24"/>
    <x v="1"/>
    <x v="9"/>
    <x v="5"/>
    <x v="5"/>
    <x v="23"/>
    <x v="23"/>
    <x v="18"/>
    <x v="2"/>
    <x v="0"/>
    <x v="2"/>
    <x v="0"/>
    <x v="6"/>
    <x v="1"/>
    <x v="0"/>
    <x v="0"/>
    <x v="8"/>
    <x v="0"/>
    <x v="0"/>
    <x v="0"/>
    <x v="5"/>
    <x v="6"/>
    <x v="0"/>
    <x v="2"/>
    <x v="6"/>
    <x v="6"/>
    <x v="2"/>
    <x v="0"/>
    <x v="0"/>
    <x v="0"/>
    <x v="0"/>
    <x v="1"/>
    <x v="0"/>
    <x v="16"/>
    <x v="1"/>
    <x v="0"/>
    <x v="0"/>
  </r>
  <r>
    <x v="0"/>
    <x v="33"/>
    <x v="25"/>
    <x v="1"/>
    <x v="10"/>
    <x v="5"/>
    <x v="5"/>
    <x v="24"/>
    <x v="24"/>
    <x v="19"/>
    <x v="9"/>
    <x v="0"/>
    <x v="10"/>
    <x v="0"/>
    <x v="9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</r>
  <r>
    <x v="0"/>
    <x v="34"/>
    <x v="26"/>
    <x v="1"/>
    <x v="10"/>
    <x v="5"/>
    <x v="5"/>
    <x v="25"/>
    <x v="25"/>
    <x v="20"/>
    <x v="12"/>
    <x v="0"/>
    <x v="13"/>
    <x v="0"/>
    <x v="2"/>
    <x v="1"/>
    <x v="0"/>
    <x v="0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</r>
  <r>
    <x v="0"/>
    <x v="35"/>
    <x v="27"/>
    <x v="1"/>
    <x v="10"/>
    <x v="5"/>
    <x v="5"/>
    <x v="26"/>
    <x v="26"/>
    <x v="21"/>
    <x v="13"/>
    <x v="0"/>
    <x v="14"/>
    <x v="0"/>
    <x v="9"/>
    <x v="1"/>
    <x v="0"/>
    <x v="0"/>
    <x v="9"/>
    <x v="0"/>
    <x v="0"/>
    <x v="0"/>
    <x v="6"/>
    <x v="7"/>
    <x v="0"/>
    <x v="1"/>
    <x v="9"/>
    <x v="9"/>
    <x v="1"/>
    <x v="0"/>
    <x v="0"/>
    <x v="0"/>
    <x v="0"/>
    <x v="1"/>
    <x v="0"/>
    <x v="17"/>
    <x v="1"/>
    <x v="0"/>
    <x v="0"/>
  </r>
  <r>
    <x v="0"/>
    <x v="36"/>
    <x v="28"/>
    <x v="1"/>
    <x v="10"/>
    <x v="5"/>
    <x v="5"/>
    <x v="27"/>
    <x v="27"/>
    <x v="22"/>
    <x v="14"/>
    <x v="0"/>
    <x v="15"/>
    <x v="0"/>
    <x v="9"/>
    <x v="1"/>
    <x v="0"/>
    <x v="0"/>
    <x v="6"/>
    <x v="0"/>
    <x v="0"/>
    <x v="0"/>
    <x v="6"/>
    <x v="7"/>
    <x v="0"/>
    <x v="1"/>
    <x v="1"/>
    <x v="1"/>
    <x v="1"/>
    <x v="0"/>
    <x v="0"/>
    <x v="0"/>
    <x v="0"/>
    <x v="1"/>
    <x v="0"/>
    <x v="17"/>
    <x v="1"/>
    <x v="0"/>
    <x v="0"/>
  </r>
  <r>
    <x v="0"/>
    <x v="37"/>
    <x v="29"/>
    <x v="1"/>
    <x v="10"/>
    <x v="5"/>
    <x v="5"/>
    <x v="25"/>
    <x v="25"/>
    <x v="20"/>
    <x v="9"/>
    <x v="0"/>
    <x v="10"/>
    <x v="0"/>
    <x v="10"/>
    <x v="1"/>
    <x v="0"/>
    <x v="0"/>
    <x v="6"/>
    <x v="0"/>
    <x v="0"/>
    <x v="0"/>
    <x v="5"/>
    <x v="6"/>
    <x v="0"/>
    <x v="3"/>
    <x v="5"/>
    <x v="5"/>
    <x v="3"/>
    <x v="0"/>
    <x v="0"/>
    <x v="0"/>
    <x v="0"/>
    <x v="1"/>
    <x v="0"/>
    <x v="18"/>
    <x v="1"/>
    <x v="0"/>
    <x v="0"/>
  </r>
  <r>
    <x v="0"/>
    <x v="38"/>
    <x v="30"/>
    <x v="1"/>
    <x v="10"/>
    <x v="5"/>
    <x v="5"/>
    <x v="21"/>
    <x v="21"/>
    <x v="16"/>
    <x v="2"/>
    <x v="0"/>
    <x v="2"/>
    <x v="0"/>
    <x v="10"/>
    <x v="1"/>
    <x v="0"/>
    <x v="0"/>
    <x v="8"/>
    <x v="0"/>
    <x v="0"/>
    <x v="0"/>
    <x v="5"/>
    <x v="6"/>
    <x v="0"/>
    <x v="2"/>
    <x v="6"/>
    <x v="6"/>
    <x v="2"/>
    <x v="0"/>
    <x v="0"/>
    <x v="0"/>
    <x v="0"/>
    <x v="1"/>
    <x v="0"/>
    <x v="18"/>
    <x v="1"/>
    <x v="0"/>
    <x v="0"/>
  </r>
  <r>
    <x v="0"/>
    <x v="39"/>
    <x v="31"/>
    <x v="1"/>
    <x v="10"/>
    <x v="5"/>
    <x v="5"/>
    <x v="24"/>
    <x v="24"/>
    <x v="19"/>
    <x v="14"/>
    <x v="0"/>
    <x v="15"/>
    <x v="0"/>
    <x v="11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</r>
  <r>
    <x v="0"/>
    <x v="40"/>
    <x v="32"/>
    <x v="1"/>
    <x v="10"/>
    <x v="5"/>
    <x v="5"/>
    <x v="24"/>
    <x v="24"/>
    <x v="19"/>
    <x v="14"/>
    <x v="0"/>
    <x v="15"/>
    <x v="0"/>
    <x v="12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</r>
  <r>
    <x v="0"/>
    <x v="41"/>
    <x v="33"/>
    <x v="1"/>
    <x v="10"/>
    <x v="5"/>
    <x v="5"/>
    <x v="24"/>
    <x v="24"/>
    <x v="19"/>
    <x v="14"/>
    <x v="0"/>
    <x v="15"/>
    <x v="0"/>
    <x v="13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</r>
  <r>
    <x v="0"/>
    <x v="42"/>
    <x v="34"/>
    <x v="0"/>
    <x v="11"/>
    <x v="6"/>
    <x v="6"/>
    <x v="28"/>
    <x v="28"/>
    <x v="23"/>
    <x v="15"/>
    <x v="0"/>
    <x v="16"/>
    <x v="0"/>
    <x v="0"/>
    <x v="3"/>
    <x v="0"/>
    <x v="0"/>
    <x v="10"/>
    <x v="0"/>
    <x v="0"/>
    <x v="0"/>
    <x v="7"/>
    <x v="8"/>
    <x v="0"/>
    <x v="2"/>
    <x v="6"/>
    <x v="6"/>
    <x v="2"/>
    <x v="0"/>
    <x v="0"/>
    <x v="0"/>
    <x v="0"/>
    <x v="3"/>
    <x v="0"/>
    <x v="19"/>
    <x v="3"/>
    <x v="1"/>
    <x v="0"/>
  </r>
  <r>
    <x v="0"/>
    <x v="43"/>
    <x v="35"/>
    <x v="0"/>
    <x v="2"/>
    <x v="7"/>
    <x v="7"/>
    <x v="29"/>
    <x v="29"/>
    <x v="24"/>
    <x v="6"/>
    <x v="0"/>
    <x v="7"/>
    <x v="0"/>
    <x v="1"/>
    <x v="1"/>
    <x v="1"/>
    <x v="1"/>
    <x v="11"/>
    <x v="0"/>
    <x v="0"/>
    <x v="0"/>
    <x v="8"/>
    <x v="9"/>
    <x v="1"/>
    <x v="5"/>
    <x v="3"/>
    <x v="3"/>
    <x v="5"/>
    <x v="1"/>
    <x v="1"/>
    <x v="2"/>
    <x v="2"/>
    <x v="1"/>
    <x v="0"/>
    <x v="20"/>
    <x v="2"/>
    <x v="0"/>
    <x v="0"/>
  </r>
  <r>
    <x v="0"/>
    <x v="44"/>
    <x v="36"/>
    <x v="0"/>
    <x v="1"/>
    <x v="7"/>
    <x v="7"/>
    <x v="30"/>
    <x v="30"/>
    <x v="25"/>
    <x v="16"/>
    <x v="0"/>
    <x v="17"/>
    <x v="0"/>
    <x v="14"/>
    <x v="1"/>
    <x v="0"/>
    <x v="0"/>
    <x v="2"/>
    <x v="0"/>
    <x v="0"/>
    <x v="0"/>
    <x v="8"/>
    <x v="9"/>
    <x v="0"/>
    <x v="2"/>
    <x v="6"/>
    <x v="6"/>
    <x v="2"/>
    <x v="0"/>
    <x v="0"/>
    <x v="0"/>
    <x v="0"/>
    <x v="1"/>
    <x v="0"/>
    <x v="21"/>
    <x v="4"/>
    <x v="0"/>
    <x v="0"/>
  </r>
  <r>
    <x v="0"/>
    <x v="45"/>
    <x v="37"/>
    <x v="0"/>
    <x v="1"/>
    <x v="7"/>
    <x v="7"/>
    <x v="31"/>
    <x v="31"/>
    <x v="26"/>
    <x v="17"/>
    <x v="0"/>
    <x v="18"/>
    <x v="0"/>
    <x v="14"/>
    <x v="1"/>
    <x v="0"/>
    <x v="0"/>
    <x v="12"/>
    <x v="0"/>
    <x v="0"/>
    <x v="0"/>
    <x v="8"/>
    <x v="9"/>
    <x v="2"/>
    <x v="6"/>
    <x v="10"/>
    <x v="10"/>
    <x v="6"/>
    <x v="2"/>
    <x v="2"/>
    <x v="0"/>
    <x v="0"/>
    <x v="1"/>
    <x v="0"/>
    <x v="22"/>
    <x v="4"/>
    <x v="0"/>
    <x v="0"/>
  </r>
  <r>
    <x v="0"/>
    <x v="46"/>
    <x v="38"/>
    <x v="1"/>
    <x v="12"/>
    <x v="8"/>
    <x v="8"/>
    <x v="32"/>
    <x v="32"/>
    <x v="27"/>
    <x v="17"/>
    <x v="0"/>
    <x v="18"/>
    <x v="0"/>
    <x v="15"/>
    <x v="4"/>
    <x v="0"/>
    <x v="0"/>
    <x v="13"/>
    <x v="0"/>
    <x v="0"/>
    <x v="0"/>
    <x v="9"/>
    <x v="10"/>
    <x v="2"/>
    <x v="7"/>
    <x v="11"/>
    <x v="11"/>
    <x v="7"/>
    <x v="2"/>
    <x v="2"/>
    <x v="0"/>
    <x v="0"/>
    <x v="4"/>
    <x v="0"/>
    <x v="23"/>
    <x v="1"/>
    <x v="0"/>
    <x v="0"/>
  </r>
  <r>
    <x v="0"/>
    <x v="47"/>
    <x v="39"/>
    <x v="1"/>
    <x v="8"/>
    <x v="9"/>
    <x v="9"/>
    <x v="33"/>
    <x v="33"/>
    <x v="28"/>
    <x v="6"/>
    <x v="0"/>
    <x v="7"/>
    <x v="0"/>
    <x v="16"/>
    <x v="1"/>
    <x v="0"/>
    <x v="0"/>
    <x v="14"/>
    <x v="0"/>
    <x v="0"/>
    <x v="0"/>
    <x v="10"/>
    <x v="11"/>
    <x v="0"/>
    <x v="2"/>
    <x v="12"/>
    <x v="12"/>
    <x v="2"/>
    <x v="0"/>
    <x v="0"/>
    <x v="0"/>
    <x v="0"/>
    <x v="1"/>
    <x v="0"/>
    <x v="24"/>
    <x v="1"/>
    <x v="0"/>
    <x v="0"/>
  </r>
  <r>
    <x v="0"/>
    <x v="48"/>
    <x v="39"/>
    <x v="1"/>
    <x v="8"/>
    <x v="9"/>
    <x v="9"/>
    <x v="34"/>
    <x v="34"/>
    <x v="28"/>
    <x v="4"/>
    <x v="0"/>
    <x v="4"/>
    <x v="0"/>
    <x v="16"/>
    <x v="1"/>
    <x v="0"/>
    <x v="0"/>
    <x v="15"/>
    <x v="0"/>
    <x v="0"/>
    <x v="0"/>
    <x v="10"/>
    <x v="11"/>
    <x v="0"/>
    <x v="2"/>
    <x v="12"/>
    <x v="12"/>
    <x v="2"/>
    <x v="0"/>
    <x v="0"/>
    <x v="0"/>
    <x v="0"/>
    <x v="1"/>
    <x v="0"/>
    <x v="24"/>
    <x v="1"/>
    <x v="0"/>
    <x v="0"/>
  </r>
  <r>
    <x v="0"/>
    <x v="49"/>
    <x v="40"/>
    <x v="1"/>
    <x v="1"/>
    <x v="10"/>
    <x v="10"/>
    <x v="35"/>
    <x v="35"/>
    <x v="29"/>
    <x v="18"/>
    <x v="0"/>
    <x v="19"/>
    <x v="0"/>
    <x v="6"/>
    <x v="1"/>
    <x v="0"/>
    <x v="0"/>
    <x v="16"/>
    <x v="0"/>
    <x v="0"/>
    <x v="0"/>
    <x v="11"/>
    <x v="12"/>
    <x v="0"/>
    <x v="2"/>
    <x v="2"/>
    <x v="2"/>
    <x v="2"/>
    <x v="0"/>
    <x v="0"/>
    <x v="0"/>
    <x v="0"/>
    <x v="1"/>
    <x v="0"/>
    <x v="25"/>
    <x v="1"/>
    <x v="0"/>
    <x v="0"/>
  </r>
  <r>
    <x v="0"/>
    <x v="50"/>
    <x v="40"/>
    <x v="1"/>
    <x v="1"/>
    <x v="10"/>
    <x v="10"/>
    <x v="36"/>
    <x v="36"/>
    <x v="30"/>
    <x v="19"/>
    <x v="0"/>
    <x v="20"/>
    <x v="0"/>
    <x v="6"/>
    <x v="1"/>
    <x v="0"/>
    <x v="0"/>
    <x v="17"/>
    <x v="0"/>
    <x v="0"/>
    <x v="0"/>
    <x v="11"/>
    <x v="12"/>
    <x v="0"/>
    <x v="2"/>
    <x v="2"/>
    <x v="2"/>
    <x v="2"/>
    <x v="0"/>
    <x v="0"/>
    <x v="0"/>
    <x v="0"/>
    <x v="1"/>
    <x v="0"/>
    <x v="25"/>
    <x v="1"/>
    <x v="0"/>
    <x v="0"/>
  </r>
  <r>
    <x v="0"/>
    <x v="51"/>
    <x v="41"/>
    <x v="0"/>
    <x v="13"/>
    <x v="11"/>
    <x v="11"/>
    <x v="37"/>
    <x v="37"/>
    <x v="31"/>
    <x v="20"/>
    <x v="0"/>
    <x v="21"/>
    <x v="0"/>
    <x v="14"/>
    <x v="5"/>
    <x v="0"/>
    <x v="0"/>
    <x v="18"/>
    <x v="0"/>
    <x v="0"/>
    <x v="0"/>
    <x v="12"/>
    <x v="13"/>
    <x v="0"/>
    <x v="2"/>
    <x v="13"/>
    <x v="13"/>
    <x v="2"/>
    <x v="0"/>
    <x v="0"/>
    <x v="0"/>
    <x v="0"/>
    <x v="5"/>
    <x v="0"/>
    <x v="26"/>
    <x v="2"/>
    <x v="1"/>
    <x v="0"/>
  </r>
  <r>
    <x v="0"/>
    <x v="52"/>
    <x v="42"/>
    <x v="1"/>
    <x v="2"/>
    <x v="12"/>
    <x v="12"/>
    <x v="2"/>
    <x v="38"/>
    <x v="32"/>
    <x v="21"/>
    <x v="0"/>
    <x v="22"/>
    <x v="0"/>
    <x v="14"/>
    <x v="6"/>
    <x v="0"/>
    <x v="0"/>
    <x v="2"/>
    <x v="0"/>
    <x v="0"/>
    <x v="0"/>
    <x v="13"/>
    <x v="14"/>
    <x v="0"/>
    <x v="2"/>
    <x v="2"/>
    <x v="2"/>
    <x v="2"/>
    <x v="0"/>
    <x v="0"/>
    <x v="0"/>
    <x v="0"/>
    <x v="6"/>
    <x v="0"/>
    <x v="27"/>
    <x v="1"/>
    <x v="0"/>
    <x v="0"/>
  </r>
  <r>
    <x v="0"/>
    <x v="53"/>
    <x v="43"/>
    <x v="0"/>
    <x v="14"/>
    <x v="12"/>
    <x v="12"/>
    <x v="38"/>
    <x v="39"/>
    <x v="33"/>
    <x v="22"/>
    <x v="0"/>
    <x v="23"/>
    <x v="0"/>
    <x v="17"/>
    <x v="1"/>
    <x v="0"/>
    <x v="0"/>
    <x v="19"/>
    <x v="0"/>
    <x v="0"/>
    <x v="0"/>
    <x v="13"/>
    <x v="14"/>
    <x v="0"/>
    <x v="2"/>
    <x v="6"/>
    <x v="6"/>
    <x v="2"/>
    <x v="0"/>
    <x v="0"/>
    <x v="0"/>
    <x v="0"/>
    <x v="1"/>
    <x v="0"/>
    <x v="28"/>
    <x v="5"/>
    <x v="0"/>
    <x v="0"/>
  </r>
  <r>
    <x v="0"/>
    <x v="54"/>
    <x v="43"/>
    <x v="0"/>
    <x v="14"/>
    <x v="12"/>
    <x v="12"/>
    <x v="39"/>
    <x v="40"/>
    <x v="33"/>
    <x v="23"/>
    <x v="0"/>
    <x v="24"/>
    <x v="0"/>
    <x v="17"/>
    <x v="1"/>
    <x v="0"/>
    <x v="0"/>
    <x v="20"/>
    <x v="0"/>
    <x v="0"/>
    <x v="0"/>
    <x v="13"/>
    <x v="14"/>
    <x v="0"/>
    <x v="2"/>
    <x v="6"/>
    <x v="6"/>
    <x v="2"/>
    <x v="0"/>
    <x v="0"/>
    <x v="0"/>
    <x v="0"/>
    <x v="1"/>
    <x v="0"/>
    <x v="28"/>
    <x v="5"/>
    <x v="0"/>
    <x v="0"/>
  </r>
  <r>
    <x v="0"/>
    <x v="55"/>
    <x v="44"/>
    <x v="0"/>
    <x v="9"/>
    <x v="12"/>
    <x v="12"/>
    <x v="40"/>
    <x v="41"/>
    <x v="34"/>
    <x v="24"/>
    <x v="0"/>
    <x v="25"/>
    <x v="0"/>
    <x v="1"/>
    <x v="6"/>
    <x v="2"/>
    <x v="2"/>
    <x v="0"/>
    <x v="0"/>
    <x v="0"/>
    <x v="0"/>
    <x v="13"/>
    <x v="14"/>
    <x v="0"/>
    <x v="0"/>
    <x v="14"/>
    <x v="14"/>
    <x v="0"/>
    <x v="0"/>
    <x v="0"/>
    <x v="0"/>
    <x v="0"/>
    <x v="6"/>
    <x v="0"/>
    <x v="29"/>
    <x v="2"/>
    <x v="0"/>
    <x v="0"/>
  </r>
  <r>
    <x v="0"/>
    <x v="56"/>
    <x v="44"/>
    <x v="0"/>
    <x v="9"/>
    <x v="12"/>
    <x v="12"/>
    <x v="41"/>
    <x v="42"/>
    <x v="34"/>
    <x v="25"/>
    <x v="0"/>
    <x v="26"/>
    <x v="0"/>
    <x v="1"/>
    <x v="6"/>
    <x v="2"/>
    <x v="2"/>
    <x v="21"/>
    <x v="0"/>
    <x v="0"/>
    <x v="0"/>
    <x v="13"/>
    <x v="14"/>
    <x v="0"/>
    <x v="0"/>
    <x v="14"/>
    <x v="14"/>
    <x v="0"/>
    <x v="0"/>
    <x v="0"/>
    <x v="0"/>
    <x v="0"/>
    <x v="6"/>
    <x v="0"/>
    <x v="29"/>
    <x v="2"/>
    <x v="0"/>
    <x v="0"/>
  </r>
  <r>
    <x v="0"/>
    <x v="57"/>
    <x v="44"/>
    <x v="0"/>
    <x v="9"/>
    <x v="12"/>
    <x v="12"/>
    <x v="42"/>
    <x v="43"/>
    <x v="35"/>
    <x v="24"/>
    <x v="0"/>
    <x v="25"/>
    <x v="0"/>
    <x v="1"/>
    <x v="6"/>
    <x v="1"/>
    <x v="1"/>
    <x v="0"/>
    <x v="0"/>
    <x v="0"/>
    <x v="0"/>
    <x v="13"/>
    <x v="14"/>
    <x v="0"/>
    <x v="0"/>
    <x v="15"/>
    <x v="15"/>
    <x v="0"/>
    <x v="0"/>
    <x v="0"/>
    <x v="0"/>
    <x v="0"/>
    <x v="6"/>
    <x v="0"/>
    <x v="29"/>
    <x v="2"/>
    <x v="0"/>
    <x v="0"/>
  </r>
  <r>
    <x v="0"/>
    <x v="58"/>
    <x v="44"/>
    <x v="0"/>
    <x v="9"/>
    <x v="12"/>
    <x v="12"/>
    <x v="43"/>
    <x v="44"/>
    <x v="35"/>
    <x v="25"/>
    <x v="0"/>
    <x v="26"/>
    <x v="0"/>
    <x v="1"/>
    <x v="6"/>
    <x v="1"/>
    <x v="1"/>
    <x v="21"/>
    <x v="0"/>
    <x v="0"/>
    <x v="0"/>
    <x v="13"/>
    <x v="14"/>
    <x v="0"/>
    <x v="0"/>
    <x v="15"/>
    <x v="15"/>
    <x v="0"/>
    <x v="0"/>
    <x v="0"/>
    <x v="0"/>
    <x v="0"/>
    <x v="6"/>
    <x v="0"/>
    <x v="29"/>
    <x v="2"/>
    <x v="0"/>
    <x v="0"/>
  </r>
  <r>
    <x v="0"/>
    <x v="59"/>
    <x v="45"/>
    <x v="1"/>
    <x v="11"/>
    <x v="13"/>
    <x v="13"/>
    <x v="44"/>
    <x v="30"/>
    <x v="36"/>
    <x v="2"/>
    <x v="0"/>
    <x v="2"/>
    <x v="0"/>
    <x v="9"/>
    <x v="2"/>
    <x v="0"/>
    <x v="0"/>
    <x v="2"/>
    <x v="0"/>
    <x v="0"/>
    <x v="0"/>
    <x v="14"/>
    <x v="15"/>
    <x v="0"/>
    <x v="2"/>
    <x v="6"/>
    <x v="6"/>
    <x v="2"/>
    <x v="0"/>
    <x v="0"/>
    <x v="0"/>
    <x v="0"/>
    <x v="2"/>
    <x v="0"/>
    <x v="30"/>
    <x v="1"/>
    <x v="1"/>
    <x v="0"/>
  </r>
  <r>
    <x v="0"/>
    <x v="60"/>
    <x v="46"/>
    <x v="1"/>
    <x v="1"/>
    <x v="13"/>
    <x v="13"/>
    <x v="45"/>
    <x v="45"/>
    <x v="37"/>
    <x v="3"/>
    <x v="0"/>
    <x v="3"/>
    <x v="0"/>
    <x v="9"/>
    <x v="2"/>
    <x v="0"/>
    <x v="0"/>
    <x v="0"/>
    <x v="0"/>
    <x v="0"/>
    <x v="0"/>
    <x v="14"/>
    <x v="15"/>
    <x v="0"/>
    <x v="1"/>
    <x v="16"/>
    <x v="16"/>
    <x v="1"/>
    <x v="0"/>
    <x v="0"/>
    <x v="0"/>
    <x v="0"/>
    <x v="2"/>
    <x v="0"/>
    <x v="30"/>
    <x v="1"/>
    <x v="1"/>
    <x v="0"/>
  </r>
  <r>
    <x v="0"/>
    <x v="61"/>
    <x v="47"/>
    <x v="1"/>
    <x v="10"/>
    <x v="14"/>
    <x v="14"/>
    <x v="46"/>
    <x v="46"/>
    <x v="38"/>
    <x v="26"/>
    <x v="0"/>
    <x v="27"/>
    <x v="0"/>
    <x v="18"/>
    <x v="0"/>
    <x v="0"/>
    <x v="0"/>
    <x v="2"/>
    <x v="0"/>
    <x v="0"/>
    <x v="0"/>
    <x v="15"/>
    <x v="16"/>
    <x v="0"/>
    <x v="2"/>
    <x v="6"/>
    <x v="6"/>
    <x v="2"/>
    <x v="0"/>
    <x v="0"/>
    <x v="0"/>
    <x v="0"/>
    <x v="0"/>
    <x v="0"/>
    <x v="31"/>
    <x v="1"/>
    <x v="0"/>
    <x v="0"/>
  </r>
  <r>
    <x v="0"/>
    <x v="62"/>
    <x v="48"/>
    <x v="1"/>
    <x v="15"/>
    <x v="15"/>
    <x v="15"/>
    <x v="47"/>
    <x v="47"/>
    <x v="39"/>
    <x v="6"/>
    <x v="0"/>
    <x v="7"/>
    <x v="0"/>
    <x v="19"/>
    <x v="1"/>
    <x v="2"/>
    <x v="2"/>
    <x v="22"/>
    <x v="0"/>
    <x v="0"/>
    <x v="0"/>
    <x v="16"/>
    <x v="17"/>
    <x v="2"/>
    <x v="8"/>
    <x v="17"/>
    <x v="17"/>
    <x v="8"/>
    <x v="2"/>
    <x v="2"/>
    <x v="0"/>
    <x v="0"/>
    <x v="1"/>
    <x v="0"/>
    <x v="32"/>
    <x v="1"/>
    <x v="0"/>
    <x v="0"/>
  </r>
  <r>
    <x v="0"/>
    <x v="63"/>
    <x v="49"/>
    <x v="1"/>
    <x v="15"/>
    <x v="15"/>
    <x v="15"/>
    <x v="47"/>
    <x v="47"/>
    <x v="39"/>
    <x v="6"/>
    <x v="0"/>
    <x v="7"/>
    <x v="0"/>
    <x v="20"/>
    <x v="1"/>
    <x v="2"/>
    <x v="2"/>
    <x v="22"/>
    <x v="0"/>
    <x v="0"/>
    <x v="0"/>
    <x v="16"/>
    <x v="17"/>
    <x v="2"/>
    <x v="8"/>
    <x v="17"/>
    <x v="17"/>
    <x v="8"/>
    <x v="2"/>
    <x v="2"/>
    <x v="0"/>
    <x v="0"/>
    <x v="1"/>
    <x v="0"/>
    <x v="32"/>
    <x v="1"/>
    <x v="0"/>
    <x v="0"/>
  </r>
  <r>
    <x v="0"/>
    <x v="64"/>
    <x v="50"/>
    <x v="1"/>
    <x v="16"/>
    <x v="15"/>
    <x v="15"/>
    <x v="48"/>
    <x v="48"/>
    <x v="40"/>
    <x v="27"/>
    <x v="0"/>
    <x v="28"/>
    <x v="0"/>
    <x v="21"/>
    <x v="6"/>
    <x v="0"/>
    <x v="0"/>
    <x v="12"/>
    <x v="0"/>
    <x v="0"/>
    <x v="0"/>
    <x v="16"/>
    <x v="17"/>
    <x v="2"/>
    <x v="7"/>
    <x v="18"/>
    <x v="18"/>
    <x v="7"/>
    <x v="2"/>
    <x v="2"/>
    <x v="0"/>
    <x v="0"/>
    <x v="6"/>
    <x v="0"/>
    <x v="33"/>
    <x v="1"/>
    <x v="0"/>
    <x v="0"/>
  </r>
  <r>
    <x v="0"/>
    <x v="65"/>
    <x v="51"/>
    <x v="1"/>
    <x v="12"/>
    <x v="15"/>
    <x v="15"/>
    <x v="48"/>
    <x v="48"/>
    <x v="40"/>
    <x v="16"/>
    <x v="0"/>
    <x v="17"/>
    <x v="0"/>
    <x v="21"/>
    <x v="5"/>
    <x v="0"/>
    <x v="0"/>
    <x v="12"/>
    <x v="0"/>
    <x v="0"/>
    <x v="0"/>
    <x v="16"/>
    <x v="17"/>
    <x v="2"/>
    <x v="7"/>
    <x v="18"/>
    <x v="18"/>
    <x v="7"/>
    <x v="2"/>
    <x v="2"/>
    <x v="0"/>
    <x v="0"/>
    <x v="5"/>
    <x v="0"/>
    <x v="33"/>
    <x v="1"/>
    <x v="0"/>
    <x v="0"/>
  </r>
  <r>
    <x v="0"/>
    <x v="66"/>
    <x v="52"/>
    <x v="1"/>
    <x v="17"/>
    <x v="16"/>
    <x v="16"/>
    <x v="49"/>
    <x v="49"/>
    <x v="41"/>
    <x v="28"/>
    <x v="0"/>
    <x v="29"/>
    <x v="0"/>
    <x v="6"/>
    <x v="2"/>
    <x v="0"/>
    <x v="0"/>
    <x v="2"/>
    <x v="0"/>
    <x v="0"/>
    <x v="0"/>
    <x v="17"/>
    <x v="18"/>
    <x v="0"/>
    <x v="2"/>
    <x v="6"/>
    <x v="6"/>
    <x v="2"/>
    <x v="0"/>
    <x v="0"/>
    <x v="0"/>
    <x v="0"/>
    <x v="2"/>
    <x v="0"/>
    <x v="34"/>
    <x v="1"/>
    <x v="1"/>
    <x v="0"/>
  </r>
  <r>
    <x v="0"/>
    <x v="67"/>
    <x v="53"/>
    <x v="1"/>
    <x v="18"/>
    <x v="17"/>
    <x v="17"/>
    <x v="50"/>
    <x v="50"/>
    <x v="42"/>
    <x v="8"/>
    <x v="0"/>
    <x v="9"/>
    <x v="0"/>
    <x v="22"/>
    <x v="3"/>
    <x v="0"/>
    <x v="0"/>
    <x v="7"/>
    <x v="0"/>
    <x v="0"/>
    <x v="0"/>
    <x v="18"/>
    <x v="19"/>
    <x v="0"/>
    <x v="2"/>
    <x v="6"/>
    <x v="6"/>
    <x v="2"/>
    <x v="0"/>
    <x v="0"/>
    <x v="0"/>
    <x v="0"/>
    <x v="3"/>
    <x v="0"/>
    <x v="35"/>
    <x v="6"/>
    <x v="0"/>
    <x v="0"/>
  </r>
  <r>
    <x v="0"/>
    <x v="68"/>
    <x v="54"/>
    <x v="1"/>
    <x v="18"/>
    <x v="17"/>
    <x v="17"/>
    <x v="50"/>
    <x v="50"/>
    <x v="42"/>
    <x v="8"/>
    <x v="0"/>
    <x v="9"/>
    <x v="0"/>
    <x v="16"/>
    <x v="6"/>
    <x v="0"/>
    <x v="0"/>
    <x v="7"/>
    <x v="0"/>
    <x v="0"/>
    <x v="0"/>
    <x v="18"/>
    <x v="19"/>
    <x v="0"/>
    <x v="2"/>
    <x v="6"/>
    <x v="6"/>
    <x v="2"/>
    <x v="0"/>
    <x v="0"/>
    <x v="0"/>
    <x v="0"/>
    <x v="6"/>
    <x v="0"/>
    <x v="36"/>
    <x v="1"/>
    <x v="0"/>
    <x v="0"/>
  </r>
  <r>
    <x v="0"/>
    <x v="69"/>
    <x v="55"/>
    <x v="1"/>
    <x v="19"/>
    <x v="18"/>
    <x v="18"/>
    <x v="15"/>
    <x v="51"/>
    <x v="41"/>
    <x v="28"/>
    <x v="0"/>
    <x v="29"/>
    <x v="0"/>
    <x v="23"/>
    <x v="0"/>
    <x v="0"/>
    <x v="0"/>
    <x v="5"/>
    <x v="0"/>
    <x v="0"/>
    <x v="0"/>
    <x v="19"/>
    <x v="20"/>
    <x v="0"/>
    <x v="2"/>
    <x v="6"/>
    <x v="6"/>
    <x v="2"/>
    <x v="0"/>
    <x v="0"/>
    <x v="0"/>
    <x v="0"/>
    <x v="0"/>
    <x v="0"/>
    <x v="37"/>
    <x v="1"/>
    <x v="1"/>
    <x v="0"/>
  </r>
  <r>
    <x v="0"/>
    <x v="70"/>
    <x v="56"/>
    <x v="1"/>
    <x v="20"/>
    <x v="18"/>
    <x v="18"/>
    <x v="51"/>
    <x v="52"/>
    <x v="43"/>
    <x v="7"/>
    <x v="0"/>
    <x v="8"/>
    <x v="0"/>
    <x v="7"/>
    <x v="2"/>
    <x v="1"/>
    <x v="1"/>
    <x v="7"/>
    <x v="0"/>
    <x v="0"/>
    <x v="0"/>
    <x v="19"/>
    <x v="20"/>
    <x v="2"/>
    <x v="8"/>
    <x v="19"/>
    <x v="19"/>
    <x v="8"/>
    <x v="2"/>
    <x v="2"/>
    <x v="0"/>
    <x v="0"/>
    <x v="2"/>
    <x v="0"/>
    <x v="38"/>
    <x v="1"/>
    <x v="1"/>
    <x v="0"/>
  </r>
  <r>
    <x v="0"/>
    <x v="71"/>
    <x v="57"/>
    <x v="1"/>
    <x v="10"/>
    <x v="18"/>
    <x v="18"/>
    <x v="15"/>
    <x v="51"/>
    <x v="41"/>
    <x v="29"/>
    <x v="0"/>
    <x v="30"/>
    <x v="0"/>
    <x v="24"/>
    <x v="2"/>
    <x v="0"/>
    <x v="0"/>
    <x v="5"/>
    <x v="0"/>
    <x v="0"/>
    <x v="0"/>
    <x v="19"/>
    <x v="20"/>
    <x v="0"/>
    <x v="2"/>
    <x v="6"/>
    <x v="6"/>
    <x v="2"/>
    <x v="0"/>
    <x v="0"/>
    <x v="0"/>
    <x v="0"/>
    <x v="2"/>
    <x v="0"/>
    <x v="39"/>
    <x v="1"/>
    <x v="1"/>
    <x v="0"/>
  </r>
  <r>
    <x v="0"/>
    <x v="72"/>
    <x v="58"/>
    <x v="1"/>
    <x v="8"/>
    <x v="19"/>
    <x v="19"/>
    <x v="52"/>
    <x v="53"/>
    <x v="44"/>
    <x v="30"/>
    <x v="0"/>
    <x v="31"/>
    <x v="0"/>
    <x v="25"/>
    <x v="0"/>
    <x v="2"/>
    <x v="2"/>
    <x v="22"/>
    <x v="0"/>
    <x v="0"/>
    <x v="0"/>
    <x v="20"/>
    <x v="21"/>
    <x v="2"/>
    <x v="8"/>
    <x v="20"/>
    <x v="20"/>
    <x v="8"/>
    <x v="2"/>
    <x v="2"/>
    <x v="2"/>
    <x v="2"/>
    <x v="0"/>
    <x v="0"/>
    <x v="40"/>
    <x v="1"/>
    <x v="2"/>
    <x v="1"/>
  </r>
  <r>
    <x v="0"/>
    <x v="73"/>
    <x v="58"/>
    <x v="1"/>
    <x v="8"/>
    <x v="19"/>
    <x v="19"/>
    <x v="53"/>
    <x v="54"/>
    <x v="44"/>
    <x v="4"/>
    <x v="0"/>
    <x v="4"/>
    <x v="0"/>
    <x v="25"/>
    <x v="0"/>
    <x v="2"/>
    <x v="2"/>
    <x v="23"/>
    <x v="0"/>
    <x v="0"/>
    <x v="0"/>
    <x v="20"/>
    <x v="21"/>
    <x v="2"/>
    <x v="8"/>
    <x v="20"/>
    <x v="20"/>
    <x v="8"/>
    <x v="2"/>
    <x v="2"/>
    <x v="2"/>
    <x v="2"/>
    <x v="0"/>
    <x v="0"/>
    <x v="40"/>
    <x v="1"/>
    <x v="2"/>
    <x v="1"/>
  </r>
  <r>
    <x v="0"/>
    <x v="74"/>
    <x v="59"/>
    <x v="0"/>
    <x v="20"/>
    <x v="19"/>
    <x v="19"/>
    <x v="54"/>
    <x v="55"/>
    <x v="45"/>
    <x v="7"/>
    <x v="0"/>
    <x v="8"/>
    <x v="0"/>
    <x v="5"/>
    <x v="1"/>
    <x v="2"/>
    <x v="2"/>
    <x v="24"/>
    <x v="0"/>
    <x v="0"/>
    <x v="0"/>
    <x v="20"/>
    <x v="21"/>
    <x v="2"/>
    <x v="8"/>
    <x v="21"/>
    <x v="21"/>
    <x v="8"/>
    <x v="2"/>
    <x v="2"/>
    <x v="0"/>
    <x v="0"/>
    <x v="1"/>
    <x v="0"/>
    <x v="41"/>
    <x v="7"/>
    <x v="2"/>
    <x v="1"/>
  </r>
  <r>
    <x v="0"/>
    <x v="75"/>
    <x v="59"/>
    <x v="0"/>
    <x v="20"/>
    <x v="19"/>
    <x v="19"/>
    <x v="55"/>
    <x v="56"/>
    <x v="46"/>
    <x v="4"/>
    <x v="0"/>
    <x v="4"/>
    <x v="0"/>
    <x v="5"/>
    <x v="1"/>
    <x v="2"/>
    <x v="2"/>
    <x v="23"/>
    <x v="0"/>
    <x v="0"/>
    <x v="0"/>
    <x v="20"/>
    <x v="21"/>
    <x v="2"/>
    <x v="8"/>
    <x v="21"/>
    <x v="21"/>
    <x v="8"/>
    <x v="2"/>
    <x v="2"/>
    <x v="0"/>
    <x v="0"/>
    <x v="1"/>
    <x v="0"/>
    <x v="41"/>
    <x v="7"/>
    <x v="2"/>
    <x v="1"/>
  </r>
  <r>
    <x v="0"/>
    <x v="76"/>
    <x v="60"/>
    <x v="1"/>
    <x v="6"/>
    <x v="20"/>
    <x v="20"/>
    <x v="56"/>
    <x v="57"/>
    <x v="47"/>
    <x v="31"/>
    <x v="0"/>
    <x v="32"/>
    <x v="0"/>
    <x v="26"/>
    <x v="7"/>
    <x v="0"/>
    <x v="0"/>
    <x v="25"/>
    <x v="0"/>
    <x v="0"/>
    <x v="0"/>
    <x v="21"/>
    <x v="22"/>
    <x v="1"/>
    <x v="9"/>
    <x v="22"/>
    <x v="22"/>
    <x v="9"/>
    <x v="1"/>
    <x v="1"/>
    <x v="0"/>
    <x v="0"/>
    <x v="7"/>
    <x v="0"/>
    <x v="42"/>
    <x v="1"/>
    <x v="1"/>
    <x v="0"/>
  </r>
  <r>
    <x v="0"/>
    <x v="77"/>
    <x v="61"/>
    <x v="0"/>
    <x v="21"/>
    <x v="20"/>
    <x v="20"/>
    <x v="56"/>
    <x v="57"/>
    <x v="47"/>
    <x v="31"/>
    <x v="0"/>
    <x v="32"/>
    <x v="2"/>
    <x v="26"/>
    <x v="8"/>
    <x v="0"/>
    <x v="0"/>
    <x v="25"/>
    <x v="0"/>
    <x v="0"/>
    <x v="0"/>
    <x v="21"/>
    <x v="22"/>
    <x v="1"/>
    <x v="9"/>
    <x v="22"/>
    <x v="22"/>
    <x v="9"/>
    <x v="1"/>
    <x v="1"/>
    <x v="0"/>
    <x v="0"/>
    <x v="8"/>
    <x v="0"/>
    <x v="43"/>
    <x v="8"/>
    <x v="1"/>
    <x v="0"/>
  </r>
  <r>
    <x v="0"/>
    <x v="78"/>
    <x v="62"/>
    <x v="1"/>
    <x v="10"/>
    <x v="21"/>
    <x v="21"/>
    <x v="57"/>
    <x v="58"/>
    <x v="48"/>
    <x v="10"/>
    <x v="0"/>
    <x v="11"/>
    <x v="0"/>
    <x v="24"/>
    <x v="9"/>
    <x v="0"/>
    <x v="0"/>
    <x v="2"/>
    <x v="0"/>
    <x v="0"/>
    <x v="0"/>
    <x v="22"/>
    <x v="23"/>
    <x v="1"/>
    <x v="2"/>
    <x v="16"/>
    <x v="16"/>
    <x v="2"/>
    <x v="1"/>
    <x v="1"/>
    <x v="0"/>
    <x v="0"/>
    <x v="9"/>
    <x v="0"/>
    <x v="44"/>
    <x v="1"/>
    <x v="1"/>
    <x v="0"/>
  </r>
  <r>
    <x v="0"/>
    <x v="79"/>
    <x v="63"/>
    <x v="1"/>
    <x v="10"/>
    <x v="21"/>
    <x v="21"/>
    <x v="58"/>
    <x v="59"/>
    <x v="49"/>
    <x v="2"/>
    <x v="0"/>
    <x v="2"/>
    <x v="0"/>
    <x v="27"/>
    <x v="9"/>
    <x v="0"/>
    <x v="0"/>
    <x v="2"/>
    <x v="0"/>
    <x v="0"/>
    <x v="0"/>
    <x v="22"/>
    <x v="23"/>
    <x v="0"/>
    <x v="2"/>
    <x v="8"/>
    <x v="8"/>
    <x v="2"/>
    <x v="0"/>
    <x v="0"/>
    <x v="0"/>
    <x v="0"/>
    <x v="9"/>
    <x v="0"/>
    <x v="45"/>
    <x v="1"/>
    <x v="1"/>
    <x v="0"/>
  </r>
  <r>
    <x v="0"/>
    <x v="80"/>
    <x v="64"/>
    <x v="0"/>
    <x v="20"/>
    <x v="22"/>
    <x v="22"/>
    <x v="59"/>
    <x v="60"/>
    <x v="50"/>
    <x v="32"/>
    <x v="0"/>
    <x v="33"/>
    <x v="0"/>
    <x v="28"/>
    <x v="1"/>
    <x v="0"/>
    <x v="0"/>
    <x v="26"/>
    <x v="0"/>
    <x v="0"/>
    <x v="0"/>
    <x v="23"/>
    <x v="24"/>
    <x v="0"/>
    <x v="2"/>
    <x v="6"/>
    <x v="6"/>
    <x v="2"/>
    <x v="0"/>
    <x v="0"/>
    <x v="0"/>
    <x v="0"/>
    <x v="1"/>
    <x v="0"/>
    <x v="46"/>
    <x v="9"/>
    <x v="0"/>
    <x v="0"/>
  </r>
  <r>
    <x v="0"/>
    <x v="81"/>
    <x v="65"/>
    <x v="1"/>
    <x v="1"/>
    <x v="23"/>
    <x v="23"/>
    <x v="60"/>
    <x v="61"/>
    <x v="51"/>
    <x v="33"/>
    <x v="0"/>
    <x v="34"/>
    <x v="0"/>
    <x v="29"/>
    <x v="1"/>
    <x v="0"/>
    <x v="0"/>
    <x v="2"/>
    <x v="0"/>
    <x v="0"/>
    <x v="0"/>
    <x v="24"/>
    <x v="25"/>
    <x v="1"/>
    <x v="2"/>
    <x v="23"/>
    <x v="23"/>
    <x v="2"/>
    <x v="1"/>
    <x v="1"/>
    <x v="0"/>
    <x v="0"/>
    <x v="1"/>
    <x v="0"/>
    <x v="47"/>
    <x v="1"/>
    <x v="0"/>
    <x v="0"/>
  </r>
  <r>
    <x v="0"/>
    <x v="82"/>
    <x v="66"/>
    <x v="1"/>
    <x v="1"/>
    <x v="23"/>
    <x v="23"/>
    <x v="61"/>
    <x v="62"/>
    <x v="52"/>
    <x v="2"/>
    <x v="0"/>
    <x v="2"/>
    <x v="0"/>
    <x v="6"/>
    <x v="1"/>
    <x v="0"/>
    <x v="0"/>
    <x v="2"/>
    <x v="0"/>
    <x v="0"/>
    <x v="0"/>
    <x v="24"/>
    <x v="25"/>
    <x v="0"/>
    <x v="2"/>
    <x v="2"/>
    <x v="2"/>
    <x v="2"/>
    <x v="0"/>
    <x v="0"/>
    <x v="0"/>
    <x v="0"/>
    <x v="1"/>
    <x v="0"/>
    <x v="48"/>
    <x v="1"/>
    <x v="0"/>
    <x v="0"/>
  </r>
  <r>
    <x v="0"/>
    <x v="83"/>
    <x v="67"/>
    <x v="1"/>
    <x v="1"/>
    <x v="23"/>
    <x v="23"/>
    <x v="62"/>
    <x v="63"/>
    <x v="53"/>
    <x v="34"/>
    <x v="0"/>
    <x v="35"/>
    <x v="0"/>
    <x v="30"/>
    <x v="2"/>
    <x v="0"/>
    <x v="0"/>
    <x v="18"/>
    <x v="0"/>
    <x v="0"/>
    <x v="0"/>
    <x v="24"/>
    <x v="25"/>
    <x v="0"/>
    <x v="2"/>
    <x v="2"/>
    <x v="2"/>
    <x v="2"/>
    <x v="0"/>
    <x v="0"/>
    <x v="0"/>
    <x v="0"/>
    <x v="2"/>
    <x v="0"/>
    <x v="49"/>
    <x v="1"/>
    <x v="0"/>
    <x v="0"/>
  </r>
  <r>
    <x v="0"/>
    <x v="84"/>
    <x v="68"/>
    <x v="1"/>
    <x v="10"/>
    <x v="23"/>
    <x v="23"/>
    <x v="60"/>
    <x v="61"/>
    <x v="51"/>
    <x v="35"/>
    <x v="0"/>
    <x v="36"/>
    <x v="0"/>
    <x v="31"/>
    <x v="1"/>
    <x v="0"/>
    <x v="0"/>
    <x v="2"/>
    <x v="0"/>
    <x v="0"/>
    <x v="0"/>
    <x v="24"/>
    <x v="25"/>
    <x v="1"/>
    <x v="2"/>
    <x v="23"/>
    <x v="23"/>
    <x v="2"/>
    <x v="1"/>
    <x v="1"/>
    <x v="0"/>
    <x v="0"/>
    <x v="1"/>
    <x v="0"/>
    <x v="50"/>
    <x v="1"/>
    <x v="0"/>
    <x v="0"/>
  </r>
  <r>
    <x v="0"/>
    <x v="85"/>
    <x v="69"/>
    <x v="1"/>
    <x v="1"/>
    <x v="24"/>
    <x v="24"/>
    <x v="63"/>
    <x v="64"/>
    <x v="54"/>
    <x v="3"/>
    <x v="0"/>
    <x v="3"/>
    <x v="0"/>
    <x v="32"/>
    <x v="2"/>
    <x v="0"/>
    <x v="0"/>
    <x v="0"/>
    <x v="0"/>
    <x v="0"/>
    <x v="0"/>
    <x v="25"/>
    <x v="26"/>
    <x v="0"/>
    <x v="1"/>
    <x v="1"/>
    <x v="1"/>
    <x v="1"/>
    <x v="0"/>
    <x v="0"/>
    <x v="0"/>
    <x v="0"/>
    <x v="2"/>
    <x v="0"/>
    <x v="51"/>
    <x v="1"/>
    <x v="0"/>
    <x v="0"/>
  </r>
  <r>
    <x v="0"/>
    <x v="86"/>
    <x v="70"/>
    <x v="1"/>
    <x v="1"/>
    <x v="24"/>
    <x v="24"/>
    <x v="45"/>
    <x v="65"/>
    <x v="55"/>
    <x v="3"/>
    <x v="0"/>
    <x v="3"/>
    <x v="0"/>
    <x v="32"/>
    <x v="2"/>
    <x v="0"/>
    <x v="0"/>
    <x v="0"/>
    <x v="0"/>
    <x v="0"/>
    <x v="0"/>
    <x v="25"/>
    <x v="26"/>
    <x v="0"/>
    <x v="1"/>
    <x v="16"/>
    <x v="16"/>
    <x v="1"/>
    <x v="0"/>
    <x v="0"/>
    <x v="0"/>
    <x v="0"/>
    <x v="2"/>
    <x v="0"/>
    <x v="51"/>
    <x v="1"/>
    <x v="0"/>
    <x v="0"/>
  </r>
  <r>
    <x v="0"/>
    <x v="87"/>
    <x v="71"/>
    <x v="1"/>
    <x v="22"/>
    <x v="25"/>
    <x v="25"/>
    <x v="46"/>
    <x v="66"/>
    <x v="41"/>
    <x v="6"/>
    <x v="0"/>
    <x v="7"/>
    <x v="3"/>
    <x v="33"/>
    <x v="2"/>
    <x v="0"/>
    <x v="0"/>
    <x v="2"/>
    <x v="0"/>
    <x v="0"/>
    <x v="0"/>
    <x v="26"/>
    <x v="27"/>
    <x v="0"/>
    <x v="2"/>
    <x v="6"/>
    <x v="6"/>
    <x v="2"/>
    <x v="0"/>
    <x v="0"/>
    <x v="0"/>
    <x v="0"/>
    <x v="2"/>
    <x v="0"/>
    <x v="52"/>
    <x v="1"/>
    <x v="1"/>
    <x v="0"/>
  </r>
  <r>
    <x v="0"/>
    <x v="88"/>
    <x v="72"/>
    <x v="1"/>
    <x v="20"/>
    <x v="26"/>
    <x v="26"/>
    <x v="64"/>
    <x v="67"/>
    <x v="56"/>
    <x v="10"/>
    <x v="0"/>
    <x v="11"/>
    <x v="0"/>
    <x v="14"/>
    <x v="2"/>
    <x v="0"/>
    <x v="0"/>
    <x v="2"/>
    <x v="0"/>
    <x v="0"/>
    <x v="0"/>
    <x v="27"/>
    <x v="28"/>
    <x v="0"/>
    <x v="2"/>
    <x v="6"/>
    <x v="6"/>
    <x v="2"/>
    <x v="0"/>
    <x v="0"/>
    <x v="0"/>
    <x v="0"/>
    <x v="2"/>
    <x v="0"/>
    <x v="53"/>
    <x v="1"/>
    <x v="0"/>
    <x v="0"/>
  </r>
  <r>
    <x v="0"/>
    <x v="89"/>
    <x v="73"/>
    <x v="0"/>
    <x v="14"/>
    <x v="26"/>
    <x v="26"/>
    <x v="65"/>
    <x v="68"/>
    <x v="57"/>
    <x v="2"/>
    <x v="0"/>
    <x v="2"/>
    <x v="0"/>
    <x v="1"/>
    <x v="2"/>
    <x v="0"/>
    <x v="0"/>
    <x v="2"/>
    <x v="0"/>
    <x v="0"/>
    <x v="0"/>
    <x v="27"/>
    <x v="28"/>
    <x v="0"/>
    <x v="2"/>
    <x v="6"/>
    <x v="6"/>
    <x v="2"/>
    <x v="0"/>
    <x v="0"/>
    <x v="0"/>
    <x v="0"/>
    <x v="2"/>
    <x v="0"/>
    <x v="54"/>
    <x v="10"/>
    <x v="0"/>
    <x v="0"/>
  </r>
  <r>
    <x v="0"/>
    <x v="90"/>
    <x v="74"/>
    <x v="0"/>
    <x v="6"/>
    <x v="27"/>
    <x v="27"/>
    <x v="24"/>
    <x v="69"/>
    <x v="58"/>
    <x v="36"/>
    <x v="0"/>
    <x v="37"/>
    <x v="4"/>
    <x v="34"/>
    <x v="6"/>
    <x v="1"/>
    <x v="1"/>
    <x v="6"/>
    <x v="0"/>
    <x v="1"/>
    <x v="1"/>
    <x v="28"/>
    <x v="29"/>
    <x v="0"/>
    <x v="3"/>
    <x v="5"/>
    <x v="5"/>
    <x v="3"/>
    <x v="0"/>
    <x v="0"/>
    <x v="0"/>
    <x v="0"/>
    <x v="6"/>
    <x v="0"/>
    <x v="55"/>
    <x v="5"/>
    <x v="2"/>
    <x v="1"/>
  </r>
  <r>
    <x v="0"/>
    <x v="91"/>
    <x v="75"/>
    <x v="0"/>
    <x v="6"/>
    <x v="27"/>
    <x v="27"/>
    <x v="24"/>
    <x v="69"/>
    <x v="58"/>
    <x v="9"/>
    <x v="0"/>
    <x v="10"/>
    <x v="0"/>
    <x v="35"/>
    <x v="6"/>
    <x v="1"/>
    <x v="1"/>
    <x v="6"/>
    <x v="0"/>
    <x v="1"/>
    <x v="1"/>
    <x v="28"/>
    <x v="29"/>
    <x v="0"/>
    <x v="3"/>
    <x v="5"/>
    <x v="5"/>
    <x v="3"/>
    <x v="0"/>
    <x v="0"/>
    <x v="0"/>
    <x v="0"/>
    <x v="6"/>
    <x v="0"/>
    <x v="56"/>
    <x v="5"/>
    <x v="2"/>
    <x v="1"/>
  </r>
  <r>
    <x v="0"/>
    <x v="92"/>
    <x v="76"/>
    <x v="1"/>
    <x v="1"/>
    <x v="28"/>
    <x v="28"/>
    <x v="66"/>
    <x v="70"/>
    <x v="59"/>
    <x v="3"/>
    <x v="0"/>
    <x v="3"/>
    <x v="0"/>
    <x v="21"/>
    <x v="2"/>
    <x v="0"/>
    <x v="0"/>
    <x v="0"/>
    <x v="0"/>
    <x v="0"/>
    <x v="0"/>
    <x v="29"/>
    <x v="30"/>
    <x v="0"/>
    <x v="3"/>
    <x v="5"/>
    <x v="5"/>
    <x v="3"/>
    <x v="0"/>
    <x v="0"/>
    <x v="0"/>
    <x v="0"/>
    <x v="2"/>
    <x v="0"/>
    <x v="57"/>
    <x v="1"/>
    <x v="0"/>
    <x v="0"/>
  </r>
  <r>
    <x v="0"/>
    <x v="93"/>
    <x v="77"/>
    <x v="1"/>
    <x v="1"/>
    <x v="28"/>
    <x v="28"/>
    <x v="66"/>
    <x v="70"/>
    <x v="59"/>
    <x v="37"/>
    <x v="0"/>
    <x v="38"/>
    <x v="0"/>
    <x v="32"/>
    <x v="1"/>
    <x v="0"/>
    <x v="0"/>
    <x v="0"/>
    <x v="0"/>
    <x v="0"/>
    <x v="0"/>
    <x v="29"/>
    <x v="30"/>
    <x v="0"/>
    <x v="3"/>
    <x v="5"/>
    <x v="5"/>
    <x v="3"/>
    <x v="0"/>
    <x v="0"/>
    <x v="0"/>
    <x v="0"/>
    <x v="1"/>
    <x v="0"/>
    <x v="58"/>
    <x v="1"/>
    <x v="0"/>
    <x v="0"/>
  </r>
  <r>
    <x v="0"/>
    <x v="94"/>
    <x v="78"/>
    <x v="1"/>
    <x v="1"/>
    <x v="28"/>
    <x v="28"/>
    <x v="46"/>
    <x v="71"/>
    <x v="60"/>
    <x v="10"/>
    <x v="0"/>
    <x v="11"/>
    <x v="0"/>
    <x v="36"/>
    <x v="1"/>
    <x v="0"/>
    <x v="0"/>
    <x v="2"/>
    <x v="0"/>
    <x v="0"/>
    <x v="0"/>
    <x v="29"/>
    <x v="30"/>
    <x v="0"/>
    <x v="2"/>
    <x v="6"/>
    <x v="6"/>
    <x v="2"/>
    <x v="0"/>
    <x v="0"/>
    <x v="0"/>
    <x v="0"/>
    <x v="1"/>
    <x v="0"/>
    <x v="59"/>
    <x v="1"/>
    <x v="0"/>
    <x v="0"/>
  </r>
  <r>
    <x v="1"/>
    <x v="95"/>
    <x v="79"/>
    <x v="2"/>
    <x v="23"/>
    <x v="29"/>
    <x v="29"/>
    <x v="67"/>
    <x v="72"/>
    <x v="61"/>
    <x v="38"/>
    <x v="0"/>
    <x v="39"/>
    <x v="0"/>
    <x v="2"/>
    <x v="6"/>
    <x v="1"/>
    <x v="1"/>
    <x v="27"/>
    <x v="2"/>
    <x v="2"/>
    <x v="2"/>
    <x v="28"/>
    <x v="29"/>
    <x v="3"/>
    <x v="10"/>
    <x v="24"/>
    <x v="24"/>
    <x v="10"/>
    <x v="3"/>
    <x v="3"/>
    <x v="3"/>
    <x v="3"/>
    <x v="6"/>
    <x v="0"/>
    <x v="60"/>
    <x v="1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0"/>
    <x v="1"/>
    <x v="0"/>
    <x v="1"/>
    <x v="0"/>
    <x v="0"/>
    <x v="0"/>
    <x v="1"/>
    <x v="0"/>
    <x v="0"/>
    <x v="0"/>
    <x v="1"/>
    <x v="1"/>
    <x v="0"/>
    <x v="1"/>
    <x v="1"/>
    <x v="1"/>
    <x v="1"/>
    <x v="0"/>
    <x v="0"/>
    <x v="0"/>
    <x v="0"/>
    <x v="0"/>
    <x v="0"/>
    <x v="1"/>
    <x v="1"/>
    <x v="0"/>
    <x v="0"/>
    <x v="0"/>
    <x v="0"/>
    <x v="0"/>
    <x v="1"/>
    <x v="1"/>
    <x v="0"/>
  </r>
  <r>
    <x v="0"/>
    <x v="2"/>
    <x v="2"/>
    <x v="0"/>
    <x v="2"/>
    <x v="1"/>
    <x v="1"/>
    <x v="2"/>
    <x v="2"/>
    <x v="2"/>
    <x v="2"/>
    <x v="0"/>
    <x v="2"/>
    <x v="0"/>
    <x v="1"/>
    <x v="1"/>
    <x v="0"/>
    <x v="0"/>
    <x v="2"/>
    <x v="0"/>
    <x v="0"/>
    <x v="0"/>
    <x v="1"/>
    <x v="1"/>
    <x v="0"/>
    <x v="2"/>
    <x v="2"/>
    <x v="2"/>
    <x v="2"/>
    <x v="0"/>
    <x v="0"/>
    <x v="0"/>
    <x v="0"/>
    <x v="1"/>
    <x v="0"/>
    <x v="2"/>
    <x v="2"/>
    <x v="0"/>
    <x v="0"/>
    <x v="1"/>
    <x v="1"/>
    <x v="1"/>
    <x v="2"/>
    <x v="0"/>
    <x v="0"/>
  </r>
  <r>
    <x v="0"/>
    <x v="3"/>
    <x v="3"/>
    <x v="1"/>
    <x v="3"/>
    <x v="2"/>
    <x v="2"/>
    <x v="3"/>
    <x v="3"/>
    <x v="3"/>
    <x v="3"/>
    <x v="0"/>
    <x v="3"/>
    <x v="0"/>
    <x v="2"/>
    <x v="1"/>
    <x v="0"/>
    <x v="0"/>
    <x v="3"/>
    <x v="0"/>
    <x v="0"/>
    <x v="0"/>
    <x v="2"/>
    <x v="2"/>
    <x v="1"/>
    <x v="0"/>
    <x v="3"/>
    <x v="3"/>
    <x v="0"/>
    <x v="1"/>
    <x v="1"/>
    <x v="0"/>
    <x v="0"/>
    <x v="1"/>
    <x v="0"/>
    <x v="3"/>
    <x v="1"/>
    <x v="0"/>
    <x v="0"/>
    <x v="1"/>
    <x v="1"/>
    <x v="1"/>
    <x v="3"/>
    <x v="1"/>
    <x v="1"/>
  </r>
  <r>
    <x v="0"/>
    <x v="4"/>
    <x v="4"/>
    <x v="1"/>
    <x v="4"/>
    <x v="2"/>
    <x v="2"/>
    <x v="3"/>
    <x v="3"/>
    <x v="3"/>
    <x v="3"/>
    <x v="0"/>
    <x v="3"/>
    <x v="0"/>
    <x v="2"/>
    <x v="1"/>
    <x v="0"/>
    <x v="0"/>
    <x v="3"/>
    <x v="0"/>
    <x v="0"/>
    <x v="0"/>
    <x v="2"/>
    <x v="2"/>
    <x v="1"/>
    <x v="0"/>
    <x v="3"/>
    <x v="3"/>
    <x v="0"/>
    <x v="1"/>
    <x v="1"/>
    <x v="0"/>
    <x v="0"/>
    <x v="1"/>
    <x v="0"/>
    <x v="3"/>
    <x v="1"/>
    <x v="0"/>
    <x v="0"/>
    <x v="1"/>
    <x v="1"/>
    <x v="1"/>
    <x v="4"/>
    <x v="1"/>
    <x v="1"/>
  </r>
  <r>
    <x v="0"/>
    <x v="5"/>
    <x v="5"/>
    <x v="1"/>
    <x v="5"/>
    <x v="3"/>
    <x v="3"/>
    <x v="4"/>
    <x v="4"/>
    <x v="4"/>
    <x v="4"/>
    <x v="0"/>
    <x v="4"/>
    <x v="0"/>
    <x v="3"/>
    <x v="0"/>
    <x v="0"/>
    <x v="0"/>
    <x v="4"/>
    <x v="1"/>
    <x v="0"/>
    <x v="0"/>
    <x v="3"/>
    <x v="3"/>
    <x v="1"/>
    <x v="3"/>
    <x v="4"/>
    <x v="4"/>
    <x v="3"/>
    <x v="1"/>
    <x v="1"/>
    <x v="0"/>
    <x v="0"/>
    <x v="0"/>
    <x v="0"/>
    <x v="4"/>
    <x v="1"/>
    <x v="0"/>
    <x v="0"/>
    <x v="0"/>
    <x v="0"/>
    <x v="0"/>
    <x v="5"/>
    <x v="1"/>
    <x v="1"/>
  </r>
  <r>
    <x v="0"/>
    <x v="6"/>
    <x v="6"/>
    <x v="1"/>
    <x v="5"/>
    <x v="3"/>
    <x v="3"/>
    <x v="5"/>
    <x v="5"/>
    <x v="5"/>
    <x v="3"/>
    <x v="1"/>
    <x v="5"/>
    <x v="0"/>
    <x v="4"/>
    <x v="2"/>
    <x v="0"/>
    <x v="0"/>
    <x v="0"/>
    <x v="1"/>
    <x v="0"/>
    <x v="0"/>
    <x v="3"/>
    <x v="3"/>
    <x v="1"/>
    <x v="3"/>
    <x v="4"/>
    <x v="4"/>
    <x v="3"/>
    <x v="1"/>
    <x v="1"/>
    <x v="0"/>
    <x v="0"/>
    <x v="2"/>
    <x v="0"/>
    <x v="5"/>
    <x v="1"/>
    <x v="0"/>
    <x v="0"/>
    <x v="0"/>
    <x v="0"/>
    <x v="0"/>
    <x v="6"/>
    <x v="1"/>
    <x v="1"/>
  </r>
  <r>
    <x v="0"/>
    <x v="7"/>
    <x v="6"/>
    <x v="1"/>
    <x v="5"/>
    <x v="3"/>
    <x v="3"/>
    <x v="6"/>
    <x v="6"/>
    <x v="5"/>
    <x v="4"/>
    <x v="0"/>
    <x v="4"/>
    <x v="0"/>
    <x v="4"/>
    <x v="2"/>
    <x v="0"/>
    <x v="0"/>
    <x v="4"/>
    <x v="1"/>
    <x v="0"/>
    <x v="0"/>
    <x v="3"/>
    <x v="3"/>
    <x v="1"/>
    <x v="3"/>
    <x v="4"/>
    <x v="4"/>
    <x v="3"/>
    <x v="1"/>
    <x v="1"/>
    <x v="0"/>
    <x v="0"/>
    <x v="2"/>
    <x v="0"/>
    <x v="5"/>
    <x v="1"/>
    <x v="0"/>
    <x v="0"/>
    <x v="0"/>
    <x v="0"/>
    <x v="0"/>
    <x v="6"/>
    <x v="1"/>
    <x v="1"/>
  </r>
  <r>
    <x v="0"/>
    <x v="8"/>
    <x v="7"/>
    <x v="1"/>
    <x v="2"/>
    <x v="3"/>
    <x v="3"/>
    <x v="7"/>
    <x v="7"/>
    <x v="6"/>
    <x v="5"/>
    <x v="0"/>
    <x v="6"/>
    <x v="1"/>
    <x v="5"/>
    <x v="1"/>
    <x v="0"/>
    <x v="0"/>
    <x v="1"/>
    <x v="0"/>
    <x v="0"/>
    <x v="0"/>
    <x v="3"/>
    <x v="3"/>
    <x v="0"/>
    <x v="1"/>
    <x v="2"/>
    <x v="2"/>
    <x v="1"/>
    <x v="0"/>
    <x v="0"/>
    <x v="0"/>
    <x v="0"/>
    <x v="1"/>
    <x v="0"/>
    <x v="6"/>
    <x v="1"/>
    <x v="0"/>
    <x v="0"/>
    <x v="1"/>
    <x v="1"/>
    <x v="1"/>
    <x v="7"/>
    <x v="1"/>
    <x v="0"/>
  </r>
  <r>
    <x v="0"/>
    <x v="9"/>
    <x v="7"/>
    <x v="1"/>
    <x v="2"/>
    <x v="3"/>
    <x v="3"/>
    <x v="8"/>
    <x v="8"/>
    <x v="6"/>
    <x v="4"/>
    <x v="0"/>
    <x v="4"/>
    <x v="1"/>
    <x v="5"/>
    <x v="1"/>
    <x v="0"/>
    <x v="0"/>
    <x v="4"/>
    <x v="0"/>
    <x v="0"/>
    <x v="0"/>
    <x v="3"/>
    <x v="3"/>
    <x v="0"/>
    <x v="1"/>
    <x v="2"/>
    <x v="2"/>
    <x v="1"/>
    <x v="0"/>
    <x v="0"/>
    <x v="0"/>
    <x v="0"/>
    <x v="1"/>
    <x v="0"/>
    <x v="6"/>
    <x v="1"/>
    <x v="0"/>
    <x v="0"/>
    <x v="1"/>
    <x v="1"/>
    <x v="1"/>
    <x v="7"/>
    <x v="1"/>
    <x v="0"/>
  </r>
  <r>
    <x v="0"/>
    <x v="10"/>
    <x v="8"/>
    <x v="1"/>
    <x v="2"/>
    <x v="3"/>
    <x v="3"/>
    <x v="5"/>
    <x v="5"/>
    <x v="5"/>
    <x v="3"/>
    <x v="0"/>
    <x v="3"/>
    <x v="0"/>
    <x v="1"/>
    <x v="2"/>
    <x v="0"/>
    <x v="0"/>
    <x v="0"/>
    <x v="0"/>
    <x v="0"/>
    <x v="0"/>
    <x v="3"/>
    <x v="3"/>
    <x v="1"/>
    <x v="3"/>
    <x v="4"/>
    <x v="4"/>
    <x v="3"/>
    <x v="1"/>
    <x v="1"/>
    <x v="0"/>
    <x v="0"/>
    <x v="2"/>
    <x v="0"/>
    <x v="7"/>
    <x v="1"/>
    <x v="0"/>
    <x v="0"/>
    <x v="0"/>
    <x v="0"/>
    <x v="0"/>
    <x v="8"/>
    <x v="1"/>
    <x v="1"/>
  </r>
  <r>
    <x v="0"/>
    <x v="11"/>
    <x v="8"/>
    <x v="1"/>
    <x v="2"/>
    <x v="3"/>
    <x v="3"/>
    <x v="6"/>
    <x v="6"/>
    <x v="5"/>
    <x v="4"/>
    <x v="0"/>
    <x v="4"/>
    <x v="0"/>
    <x v="1"/>
    <x v="2"/>
    <x v="0"/>
    <x v="0"/>
    <x v="4"/>
    <x v="0"/>
    <x v="0"/>
    <x v="0"/>
    <x v="3"/>
    <x v="3"/>
    <x v="1"/>
    <x v="3"/>
    <x v="4"/>
    <x v="4"/>
    <x v="3"/>
    <x v="1"/>
    <x v="1"/>
    <x v="0"/>
    <x v="0"/>
    <x v="2"/>
    <x v="0"/>
    <x v="7"/>
    <x v="1"/>
    <x v="0"/>
    <x v="0"/>
    <x v="0"/>
    <x v="0"/>
    <x v="0"/>
    <x v="8"/>
    <x v="1"/>
    <x v="1"/>
  </r>
  <r>
    <x v="0"/>
    <x v="12"/>
    <x v="9"/>
    <x v="1"/>
    <x v="2"/>
    <x v="3"/>
    <x v="3"/>
    <x v="9"/>
    <x v="9"/>
    <x v="7"/>
    <x v="3"/>
    <x v="0"/>
    <x v="3"/>
    <x v="1"/>
    <x v="1"/>
    <x v="2"/>
    <x v="0"/>
    <x v="0"/>
    <x v="0"/>
    <x v="0"/>
    <x v="0"/>
    <x v="0"/>
    <x v="3"/>
    <x v="3"/>
    <x v="0"/>
    <x v="3"/>
    <x v="5"/>
    <x v="5"/>
    <x v="3"/>
    <x v="0"/>
    <x v="0"/>
    <x v="0"/>
    <x v="0"/>
    <x v="2"/>
    <x v="0"/>
    <x v="8"/>
    <x v="1"/>
    <x v="0"/>
    <x v="0"/>
    <x v="0"/>
    <x v="0"/>
    <x v="0"/>
    <x v="9"/>
    <x v="1"/>
    <x v="0"/>
  </r>
  <r>
    <x v="0"/>
    <x v="13"/>
    <x v="9"/>
    <x v="1"/>
    <x v="2"/>
    <x v="3"/>
    <x v="3"/>
    <x v="10"/>
    <x v="10"/>
    <x v="7"/>
    <x v="4"/>
    <x v="0"/>
    <x v="4"/>
    <x v="1"/>
    <x v="1"/>
    <x v="2"/>
    <x v="0"/>
    <x v="0"/>
    <x v="4"/>
    <x v="0"/>
    <x v="0"/>
    <x v="0"/>
    <x v="3"/>
    <x v="3"/>
    <x v="0"/>
    <x v="3"/>
    <x v="5"/>
    <x v="5"/>
    <x v="3"/>
    <x v="0"/>
    <x v="0"/>
    <x v="0"/>
    <x v="0"/>
    <x v="2"/>
    <x v="0"/>
    <x v="8"/>
    <x v="1"/>
    <x v="0"/>
    <x v="0"/>
    <x v="0"/>
    <x v="0"/>
    <x v="0"/>
    <x v="9"/>
    <x v="1"/>
    <x v="0"/>
  </r>
  <r>
    <x v="0"/>
    <x v="14"/>
    <x v="10"/>
    <x v="1"/>
    <x v="2"/>
    <x v="3"/>
    <x v="3"/>
    <x v="11"/>
    <x v="11"/>
    <x v="4"/>
    <x v="3"/>
    <x v="0"/>
    <x v="3"/>
    <x v="0"/>
    <x v="1"/>
    <x v="0"/>
    <x v="0"/>
    <x v="0"/>
    <x v="0"/>
    <x v="0"/>
    <x v="0"/>
    <x v="0"/>
    <x v="3"/>
    <x v="3"/>
    <x v="1"/>
    <x v="3"/>
    <x v="4"/>
    <x v="4"/>
    <x v="3"/>
    <x v="1"/>
    <x v="1"/>
    <x v="0"/>
    <x v="0"/>
    <x v="0"/>
    <x v="0"/>
    <x v="9"/>
    <x v="1"/>
    <x v="0"/>
    <x v="0"/>
    <x v="0"/>
    <x v="0"/>
    <x v="0"/>
    <x v="10"/>
    <x v="1"/>
    <x v="1"/>
  </r>
  <r>
    <x v="0"/>
    <x v="15"/>
    <x v="10"/>
    <x v="1"/>
    <x v="2"/>
    <x v="3"/>
    <x v="3"/>
    <x v="4"/>
    <x v="4"/>
    <x v="4"/>
    <x v="4"/>
    <x v="0"/>
    <x v="4"/>
    <x v="0"/>
    <x v="1"/>
    <x v="0"/>
    <x v="0"/>
    <x v="0"/>
    <x v="4"/>
    <x v="0"/>
    <x v="0"/>
    <x v="0"/>
    <x v="3"/>
    <x v="3"/>
    <x v="1"/>
    <x v="3"/>
    <x v="4"/>
    <x v="4"/>
    <x v="3"/>
    <x v="1"/>
    <x v="1"/>
    <x v="0"/>
    <x v="0"/>
    <x v="0"/>
    <x v="0"/>
    <x v="9"/>
    <x v="1"/>
    <x v="0"/>
    <x v="0"/>
    <x v="0"/>
    <x v="0"/>
    <x v="0"/>
    <x v="10"/>
    <x v="1"/>
    <x v="1"/>
  </r>
  <r>
    <x v="0"/>
    <x v="16"/>
    <x v="11"/>
    <x v="1"/>
    <x v="2"/>
    <x v="3"/>
    <x v="3"/>
    <x v="12"/>
    <x v="12"/>
    <x v="8"/>
    <x v="3"/>
    <x v="0"/>
    <x v="3"/>
    <x v="1"/>
    <x v="1"/>
    <x v="0"/>
    <x v="0"/>
    <x v="0"/>
    <x v="0"/>
    <x v="0"/>
    <x v="0"/>
    <x v="0"/>
    <x v="3"/>
    <x v="3"/>
    <x v="0"/>
    <x v="3"/>
    <x v="5"/>
    <x v="5"/>
    <x v="3"/>
    <x v="0"/>
    <x v="0"/>
    <x v="0"/>
    <x v="0"/>
    <x v="0"/>
    <x v="0"/>
    <x v="10"/>
    <x v="1"/>
    <x v="0"/>
    <x v="0"/>
    <x v="0"/>
    <x v="0"/>
    <x v="0"/>
    <x v="11"/>
    <x v="1"/>
    <x v="0"/>
  </r>
  <r>
    <x v="0"/>
    <x v="17"/>
    <x v="11"/>
    <x v="1"/>
    <x v="2"/>
    <x v="3"/>
    <x v="3"/>
    <x v="13"/>
    <x v="13"/>
    <x v="8"/>
    <x v="4"/>
    <x v="0"/>
    <x v="4"/>
    <x v="1"/>
    <x v="1"/>
    <x v="0"/>
    <x v="0"/>
    <x v="0"/>
    <x v="4"/>
    <x v="0"/>
    <x v="0"/>
    <x v="0"/>
    <x v="3"/>
    <x v="3"/>
    <x v="0"/>
    <x v="3"/>
    <x v="5"/>
    <x v="5"/>
    <x v="3"/>
    <x v="0"/>
    <x v="0"/>
    <x v="0"/>
    <x v="0"/>
    <x v="0"/>
    <x v="0"/>
    <x v="10"/>
    <x v="1"/>
    <x v="0"/>
    <x v="0"/>
    <x v="0"/>
    <x v="0"/>
    <x v="0"/>
    <x v="11"/>
    <x v="1"/>
    <x v="0"/>
  </r>
  <r>
    <x v="0"/>
    <x v="18"/>
    <x v="12"/>
    <x v="1"/>
    <x v="1"/>
    <x v="3"/>
    <x v="3"/>
    <x v="5"/>
    <x v="5"/>
    <x v="5"/>
    <x v="3"/>
    <x v="0"/>
    <x v="3"/>
    <x v="0"/>
    <x v="6"/>
    <x v="2"/>
    <x v="0"/>
    <x v="0"/>
    <x v="0"/>
    <x v="0"/>
    <x v="0"/>
    <x v="0"/>
    <x v="3"/>
    <x v="3"/>
    <x v="1"/>
    <x v="3"/>
    <x v="4"/>
    <x v="4"/>
    <x v="3"/>
    <x v="1"/>
    <x v="1"/>
    <x v="0"/>
    <x v="0"/>
    <x v="2"/>
    <x v="0"/>
    <x v="11"/>
    <x v="1"/>
    <x v="0"/>
    <x v="0"/>
    <x v="0"/>
    <x v="0"/>
    <x v="0"/>
    <x v="12"/>
    <x v="1"/>
    <x v="1"/>
  </r>
  <r>
    <x v="0"/>
    <x v="19"/>
    <x v="12"/>
    <x v="1"/>
    <x v="1"/>
    <x v="3"/>
    <x v="3"/>
    <x v="6"/>
    <x v="6"/>
    <x v="5"/>
    <x v="4"/>
    <x v="0"/>
    <x v="4"/>
    <x v="0"/>
    <x v="6"/>
    <x v="2"/>
    <x v="0"/>
    <x v="0"/>
    <x v="4"/>
    <x v="0"/>
    <x v="0"/>
    <x v="0"/>
    <x v="3"/>
    <x v="3"/>
    <x v="1"/>
    <x v="3"/>
    <x v="4"/>
    <x v="4"/>
    <x v="3"/>
    <x v="1"/>
    <x v="1"/>
    <x v="0"/>
    <x v="0"/>
    <x v="2"/>
    <x v="0"/>
    <x v="11"/>
    <x v="1"/>
    <x v="0"/>
    <x v="0"/>
    <x v="0"/>
    <x v="0"/>
    <x v="0"/>
    <x v="12"/>
    <x v="1"/>
    <x v="1"/>
  </r>
  <r>
    <x v="0"/>
    <x v="20"/>
    <x v="13"/>
    <x v="1"/>
    <x v="1"/>
    <x v="3"/>
    <x v="3"/>
    <x v="9"/>
    <x v="9"/>
    <x v="7"/>
    <x v="3"/>
    <x v="0"/>
    <x v="3"/>
    <x v="0"/>
    <x v="6"/>
    <x v="2"/>
    <x v="0"/>
    <x v="0"/>
    <x v="0"/>
    <x v="0"/>
    <x v="0"/>
    <x v="0"/>
    <x v="3"/>
    <x v="3"/>
    <x v="0"/>
    <x v="3"/>
    <x v="5"/>
    <x v="5"/>
    <x v="3"/>
    <x v="0"/>
    <x v="0"/>
    <x v="0"/>
    <x v="0"/>
    <x v="2"/>
    <x v="0"/>
    <x v="12"/>
    <x v="1"/>
    <x v="0"/>
    <x v="0"/>
    <x v="0"/>
    <x v="0"/>
    <x v="0"/>
    <x v="13"/>
    <x v="1"/>
    <x v="0"/>
  </r>
  <r>
    <x v="0"/>
    <x v="21"/>
    <x v="13"/>
    <x v="1"/>
    <x v="1"/>
    <x v="3"/>
    <x v="3"/>
    <x v="10"/>
    <x v="10"/>
    <x v="7"/>
    <x v="4"/>
    <x v="0"/>
    <x v="4"/>
    <x v="0"/>
    <x v="6"/>
    <x v="2"/>
    <x v="0"/>
    <x v="0"/>
    <x v="4"/>
    <x v="0"/>
    <x v="0"/>
    <x v="0"/>
    <x v="3"/>
    <x v="3"/>
    <x v="0"/>
    <x v="3"/>
    <x v="5"/>
    <x v="5"/>
    <x v="3"/>
    <x v="0"/>
    <x v="0"/>
    <x v="0"/>
    <x v="0"/>
    <x v="2"/>
    <x v="0"/>
    <x v="12"/>
    <x v="1"/>
    <x v="0"/>
    <x v="0"/>
    <x v="0"/>
    <x v="0"/>
    <x v="0"/>
    <x v="13"/>
    <x v="1"/>
    <x v="0"/>
  </r>
  <r>
    <x v="0"/>
    <x v="22"/>
    <x v="14"/>
    <x v="1"/>
    <x v="5"/>
    <x v="4"/>
    <x v="4"/>
    <x v="14"/>
    <x v="14"/>
    <x v="9"/>
    <x v="2"/>
    <x v="0"/>
    <x v="2"/>
    <x v="0"/>
    <x v="7"/>
    <x v="1"/>
    <x v="0"/>
    <x v="0"/>
    <x v="5"/>
    <x v="0"/>
    <x v="0"/>
    <x v="0"/>
    <x v="4"/>
    <x v="4"/>
    <x v="0"/>
    <x v="2"/>
    <x v="6"/>
    <x v="6"/>
    <x v="2"/>
    <x v="0"/>
    <x v="0"/>
    <x v="0"/>
    <x v="0"/>
    <x v="1"/>
    <x v="0"/>
    <x v="13"/>
    <x v="1"/>
    <x v="0"/>
    <x v="0"/>
    <x v="1"/>
    <x v="1"/>
    <x v="1"/>
    <x v="14"/>
    <x v="1"/>
    <x v="0"/>
  </r>
  <r>
    <x v="0"/>
    <x v="23"/>
    <x v="15"/>
    <x v="1"/>
    <x v="5"/>
    <x v="4"/>
    <x v="4"/>
    <x v="15"/>
    <x v="15"/>
    <x v="10"/>
    <x v="2"/>
    <x v="0"/>
    <x v="2"/>
    <x v="0"/>
    <x v="7"/>
    <x v="1"/>
    <x v="0"/>
    <x v="0"/>
    <x v="5"/>
    <x v="0"/>
    <x v="0"/>
    <x v="0"/>
    <x v="4"/>
    <x v="4"/>
    <x v="0"/>
    <x v="2"/>
    <x v="6"/>
    <x v="6"/>
    <x v="2"/>
    <x v="0"/>
    <x v="0"/>
    <x v="0"/>
    <x v="0"/>
    <x v="1"/>
    <x v="0"/>
    <x v="13"/>
    <x v="1"/>
    <x v="0"/>
    <x v="0"/>
    <x v="1"/>
    <x v="1"/>
    <x v="1"/>
    <x v="15"/>
    <x v="1"/>
    <x v="0"/>
  </r>
  <r>
    <x v="0"/>
    <x v="24"/>
    <x v="16"/>
    <x v="1"/>
    <x v="5"/>
    <x v="4"/>
    <x v="4"/>
    <x v="16"/>
    <x v="16"/>
    <x v="11"/>
    <x v="3"/>
    <x v="0"/>
    <x v="3"/>
    <x v="0"/>
    <x v="7"/>
    <x v="1"/>
    <x v="0"/>
    <x v="0"/>
    <x v="6"/>
    <x v="0"/>
    <x v="0"/>
    <x v="0"/>
    <x v="4"/>
    <x v="4"/>
    <x v="0"/>
    <x v="3"/>
    <x v="5"/>
    <x v="5"/>
    <x v="3"/>
    <x v="0"/>
    <x v="0"/>
    <x v="0"/>
    <x v="0"/>
    <x v="1"/>
    <x v="0"/>
    <x v="13"/>
    <x v="1"/>
    <x v="0"/>
    <x v="0"/>
    <x v="1"/>
    <x v="1"/>
    <x v="1"/>
    <x v="16"/>
    <x v="1"/>
    <x v="0"/>
  </r>
  <r>
    <x v="0"/>
    <x v="25"/>
    <x v="17"/>
    <x v="1"/>
    <x v="6"/>
    <x v="4"/>
    <x v="4"/>
    <x v="17"/>
    <x v="17"/>
    <x v="12"/>
    <x v="6"/>
    <x v="0"/>
    <x v="7"/>
    <x v="0"/>
    <x v="7"/>
    <x v="1"/>
    <x v="0"/>
    <x v="0"/>
    <x v="5"/>
    <x v="0"/>
    <x v="0"/>
    <x v="0"/>
    <x v="4"/>
    <x v="4"/>
    <x v="0"/>
    <x v="2"/>
    <x v="7"/>
    <x v="7"/>
    <x v="2"/>
    <x v="0"/>
    <x v="0"/>
    <x v="1"/>
    <x v="1"/>
    <x v="1"/>
    <x v="0"/>
    <x v="13"/>
    <x v="1"/>
    <x v="0"/>
    <x v="0"/>
    <x v="1"/>
    <x v="1"/>
    <x v="1"/>
    <x v="17"/>
    <x v="1"/>
    <x v="0"/>
  </r>
  <r>
    <x v="0"/>
    <x v="26"/>
    <x v="18"/>
    <x v="1"/>
    <x v="6"/>
    <x v="4"/>
    <x v="4"/>
    <x v="18"/>
    <x v="18"/>
    <x v="13"/>
    <x v="2"/>
    <x v="0"/>
    <x v="2"/>
    <x v="0"/>
    <x v="7"/>
    <x v="1"/>
    <x v="1"/>
    <x v="1"/>
    <x v="5"/>
    <x v="0"/>
    <x v="0"/>
    <x v="0"/>
    <x v="4"/>
    <x v="4"/>
    <x v="0"/>
    <x v="4"/>
    <x v="6"/>
    <x v="6"/>
    <x v="4"/>
    <x v="0"/>
    <x v="0"/>
    <x v="1"/>
    <x v="1"/>
    <x v="1"/>
    <x v="0"/>
    <x v="13"/>
    <x v="1"/>
    <x v="0"/>
    <x v="0"/>
    <x v="1"/>
    <x v="1"/>
    <x v="1"/>
    <x v="18"/>
    <x v="1"/>
    <x v="0"/>
  </r>
  <r>
    <x v="0"/>
    <x v="27"/>
    <x v="19"/>
    <x v="1"/>
    <x v="7"/>
    <x v="5"/>
    <x v="5"/>
    <x v="19"/>
    <x v="19"/>
    <x v="14"/>
    <x v="7"/>
    <x v="0"/>
    <x v="8"/>
    <x v="0"/>
    <x v="1"/>
    <x v="1"/>
    <x v="0"/>
    <x v="0"/>
    <x v="7"/>
    <x v="0"/>
    <x v="0"/>
    <x v="0"/>
    <x v="5"/>
    <x v="5"/>
    <x v="0"/>
    <x v="4"/>
    <x v="8"/>
    <x v="8"/>
    <x v="4"/>
    <x v="0"/>
    <x v="0"/>
    <x v="0"/>
    <x v="0"/>
    <x v="1"/>
    <x v="0"/>
    <x v="14"/>
    <x v="1"/>
    <x v="0"/>
    <x v="0"/>
    <x v="1"/>
    <x v="1"/>
    <x v="1"/>
    <x v="19"/>
    <x v="1"/>
    <x v="0"/>
  </r>
  <r>
    <x v="0"/>
    <x v="28"/>
    <x v="20"/>
    <x v="1"/>
    <x v="7"/>
    <x v="5"/>
    <x v="5"/>
    <x v="19"/>
    <x v="19"/>
    <x v="14"/>
    <x v="8"/>
    <x v="0"/>
    <x v="9"/>
    <x v="0"/>
    <x v="6"/>
    <x v="1"/>
    <x v="0"/>
    <x v="0"/>
    <x v="7"/>
    <x v="0"/>
    <x v="0"/>
    <x v="0"/>
    <x v="5"/>
    <x v="5"/>
    <x v="0"/>
    <x v="4"/>
    <x v="8"/>
    <x v="8"/>
    <x v="4"/>
    <x v="0"/>
    <x v="0"/>
    <x v="0"/>
    <x v="0"/>
    <x v="1"/>
    <x v="0"/>
    <x v="14"/>
    <x v="1"/>
    <x v="0"/>
    <x v="0"/>
    <x v="1"/>
    <x v="1"/>
    <x v="1"/>
    <x v="20"/>
    <x v="1"/>
    <x v="0"/>
  </r>
  <r>
    <x v="0"/>
    <x v="29"/>
    <x v="21"/>
    <x v="1"/>
    <x v="8"/>
    <x v="5"/>
    <x v="5"/>
    <x v="20"/>
    <x v="20"/>
    <x v="15"/>
    <x v="9"/>
    <x v="0"/>
    <x v="10"/>
    <x v="0"/>
    <x v="8"/>
    <x v="1"/>
    <x v="1"/>
    <x v="1"/>
    <x v="6"/>
    <x v="0"/>
    <x v="0"/>
    <x v="0"/>
    <x v="5"/>
    <x v="5"/>
    <x v="0"/>
    <x v="3"/>
    <x v="4"/>
    <x v="4"/>
    <x v="3"/>
    <x v="0"/>
    <x v="0"/>
    <x v="0"/>
    <x v="0"/>
    <x v="1"/>
    <x v="0"/>
    <x v="15"/>
    <x v="1"/>
    <x v="0"/>
    <x v="0"/>
    <x v="1"/>
    <x v="1"/>
    <x v="1"/>
    <x v="21"/>
    <x v="1"/>
    <x v="0"/>
  </r>
  <r>
    <x v="0"/>
    <x v="30"/>
    <x v="22"/>
    <x v="1"/>
    <x v="8"/>
    <x v="5"/>
    <x v="5"/>
    <x v="21"/>
    <x v="21"/>
    <x v="16"/>
    <x v="10"/>
    <x v="0"/>
    <x v="11"/>
    <x v="0"/>
    <x v="8"/>
    <x v="1"/>
    <x v="0"/>
    <x v="0"/>
    <x v="8"/>
    <x v="0"/>
    <x v="0"/>
    <x v="0"/>
    <x v="5"/>
    <x v="5"/>
    <x v="0"/>
    <x v="2"/>
    <x v="6"/>
    <x v="6"/>
    <x v="2"/>
    <x v="0"/>
    <x v="0"/>
    <x v="0"/>
    <x v="0"/>
    <x v="1"/>
    <x v="0"/>
    <x v="15"/>
    <x v="1"/>
    <x v="0"/>
    <x v="0"/>
    <x v="1"/>
    <x v="1"/>
    <x v="1"/>
    <x v="22"/>
    <x v="1"/>
    <x v="0"/>
  </r>
  <r>
    <x v="0"/>
    <x v="31"/>
    <x v="23"/>
    <x v="1"/>
    <x v="8"/>
    <x v="5"/>
    <x v="5"/>
    <x v="22"/>
    <x v="22"/>
    <x v="17"/>
    <x v="11"/>
    <x v="0"/>
    <x v="12"/>
    <x v="0"/>
    <x v="8"/>
    <x v="1"/>
    <x v="0"/>
    <x v="0"/>
    <x v="8"/>
    <x v="0"/>
    <x v="0"/>
    <x v="0"/>
    <x v="5"/>
    <x v="5"/>
    <x v="0"/>
    <x v="2"/>
    <x v="2"/>
    <x v="2"/>
    <x v="2"/>
    <x v="0"/>
    <x v="0"/>
    <x v="0"/>
    <x v="0"/>
    <x v="1"/>
    <x v="0"/>
    <x v="15"/>
    <x v="1"/>
    <x v="0"/>
    <x v="0"/>
    <x v="1"/>
    <x v="1"/>
    <x v="1"/>
    <x v="23"/>
    <x v="1"/>
    <x v="0"/>
  </r>
  <r>
    <x v="0"/>
    <x v="32"/>
    <x v="24"/>
    <x v="1"/>
    <x v="9"/>
    <x v="5"/>
    <x v="5"/>
    <x v="23"/>
    <x v="23"/>
    <x v="18"/>
    <x v="2"/>
    <x v="0"/>
    <x v="2"/>
    <x v="0"/>
    <x v="6"/>
    <x v="1"/>
    <x v="0"/>
    <x v="0"/>
    <x v="8"/>
    <x v="0"/>
    <x v="0"/>
    <x v="0"/>
    <x v="5"/>
    <x v="6"/>
    <x v="0"/>
    <x v="2"/>
    <x v="6"/>
    <x v="6"/>
    <x v="2"/>
    <x v="0"/>
    <x v="0"/>
    <x v="0"/>
    <x v="0"/>
    <x v="1"/>
    <x v="0"/>
    <x v="16"/>
    <x v="1"/>
    <x v="0"/>
    <x v="0"/>
    <x v="1"/>
    <x v="1"/>
    <x v="1"/>
    <x v="24"/>
    <x v="1"/>
    <x v="0"/>
  </r>
  <r>
    <x v="0"/>
    <x v="33"/>
    <x v="25"/>
    <x v="1"/>
    <x v="10"/>
    <x v="5"/>
    <x v="5"/>
    <x v="24"/>
    <x v="24"/>
    <x v="19"/>
    <x v="9"/>
    <x v="0"/>
    <x v="10"/>
    <x v="0"/>
    <x v="9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  <x v="1"/>
    <x v="1"/>
    <x v="1"/>
    <x v="25"/>
    <x v="1"/>
    <x v="0"/>
  </r>
  <r>
    <x v="0"/>
    <x v="34"/>
    <x v="26"/>
    <x v="1"/>
    <x v="10"/>
    <x v="5"/>
    <x v="5"/>
    <x v="25"/>
    <x v="25"/>
    <x v="20"/>
    <x v="12"/>
    <x v="0"/>
    <x v="13"/>
    <x v="0"/>
    <x v="2"/>
    <x v="1"/>
    <x v="0"/>
    <x v="0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  <x v="1"/>
    <x v="1"/>
    <x v="1"/>
    <x v="26"/>
    <x v="1"/>
    <x v="0"/>
  </r>
  <r>
    <x v="0"/>
    <x v="35"/>
    <x v="27"/>
    <x v="1"/>
    <x v="10"/>
    <x v="5"/>
    <x v="5"/>
    <x v="26"/>
    <x v="26"/>
    <x v="21"/>
    <x v="13"/>
    <x v="0"/>
    <x v="14"/>
    <x v="0"/>
    <x v="9"/>
    <x v="1"/>
    <x v="0"/>
    <x v="0"/>
    <x v="9"/>
    <x v="0"/>
    <x v="0"/>
    <x v="0"/>
    <x v="6"/>
    <x v="7"/>
    <x v="0"/>
    <x v="1"/>
    <x v="9"/>
    <x v="9"/>
    <x v="1"/>
    <x v="0"/>
    <x v="0"/>
    <x v="0"/>
    <x v="0"/>
    <x v="1"/>
    <x v="0"/>
    <x v="17"/>
    <x v="1"/>
    <x v="0"/>
    <x v="0"/>
    <x v="1"/>
    <x v="1"/>
    <x v="1"/>
    <x v="27"/>
    <x v="1"/>
    <x v="0"/>
  </r>
  <r>
    <x v="0"/>
    <x v="36"/>
    <x v="28"/>
    <x v="1"/>
    <x v="10"/>
    <x v="5"/>
    <x v="5"/>
    <x v="27"/>
    <x v="27"/>
    <x v="22"/>
    <x v="14"/>
    <x v="0"/>
    <x v="15"/>
    <x v="0"/>
    <x v="9"/>
    <x v="1"/>
    <x v="0"/>
    <x v="0"/>
    <x v="6"/>
    <x v="0"/>
    <x v="0"/>
    <x v="0"/>
    <x v="6"/>
    <x v="7"/>
    <x v="0"/>
    <x v="1"/>
    <x v="1"/>
    <x v="1"/>
    <x v="1"/>
    <x v="0"/>
    <x v="0"/>
    <x v="0"/>
    <x v="0"/>
    <x v="1"/>
    <x v="0"/>
    <x v="17"/>
    <x v="1"/>
    <x v="0"/>
    <x v="0"/>
    <x v="1"/>
    <x v="1"/>
    <x v="1"/>
    <x v="28"/>
    <x v="1"/>
    <x v="0"/>
  </r>
  <r>
    <x v="0"/>
    <x v="37"/>
    <x v="29"/>
    <x v="1"/>
    <x v="10"/>
    <x v="5"/>
    <x v="5"/>
    <x v="25"/>
    <x v="25"/>
    <x v="20"/>
    <x v="9"/>
    <x v="0"/>
    <x v="10"/>
    <x v="0"/>
    <x v="10"/>
    <x v="1"/>
    <x v="0"/>
    <x v="0"/>
    <x v="6"/>
    <x v="0"/>
    <x v="0"/>
    <x v="0"/>
    <x v="5"/>
    <x v="6"/>
    <x v="0"/>
    <x v="3"/>
    <x v="5"/>
    <x v="5"/>
    <x v="3"/>
    <x v="0"/>
    <x v="0"/>
    <x v="0"/>
    <x v="0"/>
    <x v="1"/>
    <x v="0"/>
    <x v="18"/>
    <x v="1"/>
    <x v="0"/>
    <x v="0"/>
    <x v="1"/>
    <x v="1"/>
    <x v="1"/>
    <x v="29"/>
    <x v="1"/>
    <x v="0"/>
  </r>
  <r>
    <x v="0"/>
    <x v="38"/>
    <x v="30"/>
    <x v="1"/>
    <x v="10"/>
    <x v="5"/>
    <x v="5"/>
    <x v="21"/>
    <x v="21"/>
    <x v="16"/>
    <x v="2"/>
    <x v="0"/>
    <x v="2"/>
    <x v="0"/>
    <x v="10"/>
    <x v="1"/>
    <x v="0"/>
    <x v="0"/>
    <x v="8"/>
    <x v="0"/>
    <x v="0"/>
    <x v="0"/>
    <x v="5"/>
    <x v="6"/>
    <x v="0"/>
    <x v="2"/>
    <x v="6"/>
    <x v="6"/>
    <x v="2"/>
    <x v="0"/>
    <x v="0"/>
    <x v="0"/>
    <x v="0"/>
    <x v="1"/>
    <x v="0"/>
    <x v="18"/>
    <x v="1"/>
    <x v="0"/>
    <x v="0"/>
    <x v="1"/>
    <x v="1"/>
    <x v="1"/>
    <x v="30"/>
    <x v="1"/>
    <x v="0"/>
  </r>
  <r>
    <x v="0"/>
    <x v="39"/>
    <x v="31"/>
    <x v="1"/>
    <x v="10"/>
    <x v="5"/>
    <x v="5"/>
    <x v="24"/>
    <x v="24"/>
    <x v="19"/>
    <x v="14"/>
    <x v="0"/>
    <x v="15"/>
    <x v="0"/>
    <x v="11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  <x v="1"/>
    <x v="1"/>
    <x v="1"/>
    <x v="31"/>
    <x v="1"/>
    <x v="0"/>
  </r>
  <r>
    <x v="0"/>
    <x v="40"/>
    <x v="32"/>
    <x v="1"/>
    <x v="10"/>
    <x v="5"/>
    <x v="5"/>
    <x v="24"/>
    <x v="24"/>
    <x v="19"/>
    <x v="14"/>
    <x v="0"/>
    <x v="15"/>
    <x v="0"/>
    <x v="12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  <x v="1"/>
    <x v="1"/>
    <x v="1"/>
    <x v="32"/>
    <x v="1"/>
    <x v="0"/>
  </r>
  <r>
    <x v="0"/>
    <x v="41"/>
    <x v="33"/>
    <x v="1"/>
    <x v="10"/>
    <x v="5"/>
    <x v="5"/>
    <x v="24"/>
    <x v="24"/>
    <x v="19"/>
    <x v="14"/>
    <x v="0"/>
    <x v="15"/>
    <x v="0"/>
    <x v="13"/>
    <x v="1"/>
    <x v="1"/>
    <x v="1"/>
    <x v="6"/>
    <x v="0"/>
    <x v="0"/>
    <x v="0"/>
    <x v="6"/>
    <x v="7"/>
    <x v="0"/>
    <x v="3"/>
    <x v="5"/>
    <x v="5"/>
    <x v="3"/>
    <x v="0"/>
    <x v="0"/>
    <x v="0"/>
    <x v="0"/>
    <x v="1"/>
    <x v="0"/>
    <x v="17"/>
    <x v="1"/>
    <x v="0"/>
    <x v="0"/>
    <x v="1"/>
    <x v="1"/>
    <x v="1"/>
    <x v="33"/>
    <x v="1"/>
    <x v="0"/>
  </r>
  <r>
    <x v="0"/>
    <x v="42"/>
    <x v="34"/>
    <x v="0"/>
    <x v="11"/>
    <x v="6"/>
    <x v="6"/>
    <x v="28"/>
    <x v="28"/>
    <x v="23"/>
    <x v="15"/>
    <x v="0"/>
    <x v="16"/>
    <x v="0"/>
    <x v="0"/>
    <x v="3"/>
    <x v="0"/>
    <x v="0"/>
    <x v="10"/>
    <x v="0"/>
    <x v="0"/>
    <x v="0"/>
    <x v="7"/>
    <x v="8"/>
    <x v="0"/>
    <x v="2"/>
    <x v="6"/>
    <x v="6"/>
    <x v="2"/>
    <x v="0"/>
    <x v="0"/>
    <x v="0"/>
    <x v="0"/>
    <x v="3"/>
    <x v="0"/>
    <x v="19"/>
    <x v="3"/>
    <x v="1"/>
    <x v="0"/>
    <x v="0"/>
    <x v="0"/>
    <x v="0"/>
    <x v="34"/>
    <x v="0"/>
    <x v="0"/>
  </r>
  <r>
    <x v="0"/>
    <x v="43"/>
    <x v="35"/>
    <x v="0"/>
    <x v="2"/>
    <x v="7"/>
    <x v="7"/>
    <x v="29"/>
    <x v="29"/>
    <x v="24"/>
    <x v="6"/>
    <x v="0"/>
    <x v="7"/>
    <x v="0"/>
    <x v="1"/>
    <x v="1"/>
    <x v="1"/>
    <x v="1"/>
    <x v="11"/>
    <x v="0"/>
    <x v="0"/>
    <x v="0"/>
    <x v="8"/>
    <x v="9"/>
    <x v="1"/>
    <x v="5"/>
    <x v="3"/>
    <x v="3"/>
    <x v="5"/>
    <x v="1"/>
    <x v="1"/>
    <x v="2"/>
    <x v="2"/>
    <x v="1"/>
    <x v="0"/>
    <x v="20"/>
    <x v="2"/>
    <x v="0"/>
    <x v="0"/>
    <x v="1"/>
    <x v="1"/>
    <x v="1"/>
    <x v="35"/>
    <x v="0"/>
    <x v="1"/>
  </r>
  <r>
    <x v="0"/>
    <x v="44"/>
    <x v="36"/>
    <x v="0"/>
    <x v="1"/>
    <x v="7"/>
    <x v="7"/>
    <x v="30"/>
    <x v="30"/>
    <x v="25"/>
    <x v="16"/>
    <x v="0"/>
    <x v="17"/>
    <x v="0"/>
    <x v="14"/>
    <x v="1"/>
    <x v="0"/>
    <x v="0"/>
    <x v="2"/>
    <x v="0"/>
    <x v="0"/>
    <x v="0"/>
    <x v="8"/>
    <x v="9"/>
    <x v="0"/>
    <x v="2"/>
    <x v="6"/>
    <x v="6"/>
    <x v="2"/>
    <x v="0"/>
    <x v="0"/>
    <x v="0"/>
    <x v="0"/>
    <x v="1"/>
    <x v="0"/>
    <x v="21"/>
    <x v="4"/>
    <x v="0"/>
    <x v="0"/>
    <x v="1"/>
    <x v="1"/>
    <x v="1"/>
    <x v="36"/>
    <x v="0"/>
    <x v="0"/>
  </r>
  <r>
    <x v="0"/>
    <x v="45"/>
    <x v="37"/>
    <x v="0"/>
    <x v="1"/>
    <x v="7"/>
    <x v="7"/>
    <x v="31"/>
    <x v="31"/>
    <x v="26"/>
    <x v="17"/>
    <x v="0"/>
    <x v="18"/>
    <x v="0"/>
    <x v="14"/>
    <x v="1"/>
    <x v="0"/>
    <x v="0"/>
    <x v="12"/>
    <x v="0"/>
    <x v="0"/>
    <x v="0"/>
    <x v="8"/>
    <x v="9"/>
    <x v="2"/>
    <x v="6"/>
    <x v="10"/>
    <x v="10"/>
    <x v="6"/>
    <x v="2"/>
    <x v="2"/>
    <x v="0"/>
    <x v="0"/>
    <x v="1"/>
    <x v="0"/>
    <x v="22"/>
    <x v="4"/>
    <x v="0"/>
    <x v="0"/>
    <x v="1"/>
    <x v="1"/>
    <x v="1"/>
    <x v="37"/>
    <x v="0"/>
    <x v="1"/>
  </r>
  <r>
    <x v="0"/>
    <x v="46"/>
    <x v="38"/>
    <x v="1"/>
    <x v="12"/>
    <x v="8"/>
    <x v="8"/>
    <x v="32"/>
    <x v="32"/>
    <x v="27"/>
    <x v="17"/>
    <x v="0"/>
    <x v="18"/>
    <x v="0"/>
    <x v="15"/>
    <x v="4"/>
    <x v="0"/>
    <x v="0"/>
    <x v="13"/>
    <x v="0"/>
    <x v="0"/>
    <x v="0"/>
    <x v="9"/>
    <x v="10"/>
    <x v="2"/>
    <x v="7"/>
    <x v="11"/>
    <x v="11"/>
    <x v="7"/>
    <x v="2"/>
    <x v="2"/>
    <x v="0"/>
    <x v="0"/>
    <x v="4"/>
    <x v="0"/>
    <x v="23"/>
    <x v="1"/>
    <x v="0"/>
    <x v="0"/>
    <x v="0"/>
    <x v="0"/>
    <x v="0"/>
    <x v="38"/>
    <x v="1"/>
    <x v="1"/>
  </r>
  <r>
    <x v="0"/>
    <x v="47"/>
    <x v="39"/>
    <x v="1"/>
    <x v="8"/>
    <x v="9"/>
    <x v="9"/>
    <x v="33"/>
    <x v="33"/>
    <x v="28"/>
    <x v="6"/>
    <x v="0"/>
    <x v="7"/>
    <x v="0"/>
    <x v="16"/>
    <x v="1"/>
    <x v="0"/>
    <x v="0"/>
    <x v="14"/>
    <x v="0"/>
    <x v="0"/>
    <x v="0"/>
    <x v="10"/>
    <x v="11"/>
    <x v="0"/>
    <x v="2"/>
    <x v="12"/>
    <x v="12"/>
    <x v="2"/>
    <x v="0"/>
    <x v="0"/>
    <x v="0"/>
    <x v="0"/>
    <x v="1"/>
    <x v="0"/>
    <x v="24"/>
    <x v="1"/>
    <x v="0"/>
    <x v="0"/>
    <x v="1"/>
    <x v="1"/>
    <x v="1"/>
    <x v="39"/>
    <x v="1"/>
    <x v="0"/>
  </r>
  <r>
    <x v="0"/>
    <x v="48"/>
    <x v="39"/>
    <x v="1"/>
    <x v="8"/>
    <x v="9"/>
    <x v="9"/>
    <x v="34"/>
    <x v="34"/>
    <x v="28"/>
    <x v="4"/>
    <x v="0"/>
    <x v="4"/>
    <x v="0"/>
    <x v="16"/>
    <x v="1"/>
    <x v="0"/>
    <x v="0"/>
    <x v="15"/>
    <x v="0"/>
    <x v="0"/>
    <x v="0"/>
    <x v="10"/>
    <x v="11"/>
    <x v="0"/>
    <x v="2"/>
    <x v="12"/>
    <x v="12"/>
    <x v="2"/>
    <x v="0"/>
    <x v="0"/>
    <x v="0"/>
    <x v="0"/>
    <x v="1"/>
    <x v="0"/>
    <x v="24"/>
    <x v="1"/>
    <x v="0"/>
    <x v="0"/>
    <x v="1"/>
    <x v="1"/>
    <x v="1"/>
    <x v="39"/>
    <x v="1"/>
    <x v="0"/>
  </r>
  <r>
    <x v="0"/>
    <x v="49"/>
    <x v="40"/>
    <x v="1"/>
    <x v="1"/>
    <x v="10"/>
    <x v="10"/>
    <x v="35"/>
    <x v="35"/>
    <x v="29"/>
    <x v="18"/>
    <x v="0"/>
    <x v="19"/>
    <x v="0"/>
    <x v="6"/>
    <x v="1"/>
    <x v="0"/>
    <x v="0"/>
    <x v="16"/>
    <x v="0"/>
    <x v="0"/>
    <x v="0"/>
    <x v="11"/>
    <x v="12"/>
    <x v="0"/>
    <x v="2"/>
    <x v="2"/>
    <x v="2"/>
    <x v="2"/>
    <x v="0"/>
    <x v="0"/>
    <x v="0"/>
    <x v="0"/>
    <x v="1"/>
    <x v="0"/>
    <x v="25"/>
    <x v="1"/>
    <x v="0"/>
    <x v="0"/>
    <x v="1"/>
    <x v="1"/>
    <x v="1"/>
    <x v="40"/>
    <x v="1"/>
    <x v="0"/>
  </r>
  <r>
    <x v="0"/>
    <x v="50"/>
    <x v="40"/>
    <x v="1"/>
    <x v="1"/>
    <x v="10"/>
    <x v="10"/>
    <x v="36"/>
    <x v="36"/>
    <x v="30"/>
    <x v="19"/>
    <x v="0"/>
    <x v="20"/>
    <x v="0"/>
    <x v="6"/>
    <x v="1"/>
    <x v="0"/>
    <x v="0"/>
    <x v="17"/>
    <x v="0"/>
    <x v="0"/>
    <x v="0"/>
    <x v="11"/>
    <x v="12"/>
    <x v="0"/>
    <x v="2"/>
    <x v="2"/>
    <x v="2"/>
    <x v="2"/>
    <x v="0"/>
    <x v="0"/>
    <x v="0"/>
    <x v="0"/>
    <x v="1"/>
    <x v="0"/>
    <x v="25"/>
    <x v="1"/>
    <x v="0"/>
    <x v="0"/>
    <x v="1"/>
    <x v="1"/>
    <x v="1"/>
    <x v="40"/>
    <x v="1"/>
    <x v="0"/>
  </r>
  <r>
    <x v="0"/>
    <x v="51"/>
    <x v="41"/>
    <x v="0"/>
    <x v="13"/>
    <x v="11"/>
    <x v="11"/>
    <x v="37"/>
    <x v="37"/>
    <x v="31"/>
    <x v="20"/>
    <x v="0"/>
    <x v="21"/>
    <x v="0"/>
    <x v="14"/>
    <x v="5"/>
    <x v="0"/>
    <x v="0"/>
    <x v="18"/>
    <x v="0"/>
    <x v="0"/>
    <x v="0"/>
    <x v="12"/>
    <x v="13"/>
    <x v="0"/>
    <x v="2"/>
    <x v="13"/>
    <x v="13"/>
    <x v="2"/>
    <x v="0"/>
    <x v="0"/>
    <x v="0"/>
    <x v="0"/>
    <x v="5"/>
    <x v="0"/>
    <x v="26"/>
    <x v="2"/>
    <x v="1"/>
    <x v="0"/>
    <x v="0"/>
    <x v="0"/>
    <x v="0"/>
    <x v="41"/>
    <x v="0"/>
    <x v="0"/>
  </r>
  <r>
    <x v="0"/>
    <x v="52"/>
    <x v="42"/>
    <x v="1"/>
    <x v="2"/>
    <x v="12"/>
    <x v="12"/>
    <x v="2"/>
    <x v="38"/>
    <x v="32"/>
    <x v="21"/>
    <x v="0"/>
    <x v="22"/>
    <x v="0"/>
    <x v="14"/>
    <x v="6"/>
    <x v="0"/>
    <x v="0"/>
    <x v="2"/>
    <x v="0"/>
    <x v="0"/>
    <x v="0"/>
    <x v="13"/>
    <x v="14"/>
    <x v="0"/>
    <x v="2"/>
    <x v="2"/>
    <x v="2"/>
    <x v="2"/>
    <x v="0"/>
    <x v="0"/>
    <x v="0"/>
    <x v="0"/>
    <x v="6"/>
    <x v="0"/>
    <x v="27"/>
    <x v="1"/>
    <x v="0"/>
    <x v="0"/>
    <x v="0"/>
    <x v="0"/>
    <x v="0"/>
    <x v="42"/>
    <x v="1"/>
    <x v="0"/>
  </r>
  <r>
    <x v="0"/>
    <x v="53"/>
    <x v="43"/>
    <x v="0"/>
    <x v="14"/>
    <x v="12"/>
    <x v="12"/>
    <x v="38"/>
    <x v="39"/>
    <x v="33"/>
    <x v="22"/>
    <x v="0"/>
    <x v="23"/>
    <x v="0"/>
    <x v="17"/>
    <x v="1"/>
    <x v="0"/>
    <x v="0"/>
    <x v="19"/>
    <x v="0"/>
    <x v="0"/>
    <x v="0"/>
    <x v="13"/>
    <x v="14"/>
    <x v="0"/>
    <x v="2"/>
    <x v="6"/>
    <x v="6"/>
    <x v="2"/>
    <x v="0"/>
    <x v="0"/>
    <x v="0"/>
    <x v="0"/>
    <x v="1"/>
    <x v="0"/>
    <x v="28"/>
    <x v="5"/>
    <x v="0"/>
    <x v="0"/>
    <x v="1"/>
    <x v="1"/>
    <x v="1"/>
    <x v="43"/>
    <x v="0"/>
    <x v="0"/>
  </r>
  <r>
    <x v="0"/>
    <x v="54"/>
    <x v="43"/>
    <x v="0"/>
    <x v="14"/>
    <x v="12"/>
    <x v="12"/>
    <x v="39"/>
    <x v="40"/>
    <x v="33"/>
    <x v="23"/>
    <x v="0"/>
    <x v="24"/>
    <x v="0"/>
    <x v="17"/>
    <x v="1"/>
    <x v="0"/>
    <x v="0"/>
    <x v="20"/>
    <x v="0"/>
    <x v="0"/>
    <x v="0"/>
    <x v="13"/>
    <x v="14"/>
    <x v="0"/>
    <x v="2"/>
    <x v="6"/>
    <x v="6"/>
    <x v="2"/>
    <x v="0"/>
    <x v="0"/>
    <x v="0"/>
    <x v="0"/>
    <x v="1"/>
    <x v="0"/>
    <x v="28"/>
    <x v="5"/>
    <x v="0"/>
    <x v="0"/>
    <x v="1"/>
    <x v="1"/>
    <x v="1"/>
    <x v="43"/>
    <x v="0"/>
    <x v="0"/>
  </r>
  <r>
    <x v="0"/>
    <x v="55"/>
    <x v="44"/>
    <x v="0"/>
    <x v="9"/>
    <x v="12"/>
    <x v="12"/>
    <x v="40"/>
    <x v="41"/>
    <x v="34"/>
    <x v="24"/>
    <x v="0"/>
    <x v="25"/>
    <x v="0"/>
    <x v="1"/>
    <x v="6"/>
    <x v="2"/>
    <x v="2"/>
    <x v="0"/>
    <x v="0"/>
    <x v="0"/>
    <x v="0"/>
    <x v="13"/>
    <x v="14"/>
    <x v="0"/>
    <x v="0"/>
    <x v="14"/>
    <x v="14"/>
    <x v="0"/>
    <x v="0"/>
    <x v="0"/>
    <x v="0"/>
    <x v="0"/>
    <x v="6"/>
    <x v="0"/>
    <x v="29"/>
    <x v="2"/>
    <x v="0"/>
    <x v="0"/>
    <x v="0"/>
    <x v="0"/>
    <x v="0"/>
    <x v="44"/>
    <x v="0"/>
    <x v="0"/>
  </r>
  <r>
    <x v="0"/>
    <x v="56"/>
    <x v="44"/>
    <x v="0"/>
    <x v="9"/>
    <x v="12"/>
    <x v="12"/>
    <x v="41"/>
    <x v="42"/>
    <x v="34"/>
    <x v="25"/>
    <x v="0"/>
    <x v="26"/>
    <x v="0"/>
    <x v="1"/>
    <x v="6"/>
    <x v="2"/>
    <x v="2"/>
    <x v="21"/>
    <x v="0"/>
    <x v="0"/>
    <x v="0"/>
    <x v="13"/>
    <x v="14"/>
    <x v="0"/>
    <x v="0"/>
    <x v="14"/>
    <x v="14"/>
    <x v="0"/>
    <x v="0"/>
    <x v="0"/>
    <x v="0"/>
    <x v="0"/>
    <x v="6"/>
    <x v="0"/>
    <x v="29"/>
    <x v="2"/>
    <x v="0"/>
    <x v="0"/>
    <x v="0"/>
    <x v="0"/>
    <x v="0"/>
    <x v="44"/>
    <x v="0"/>
    <x v="0"/>
  </r>
  <r>
    <x v="0"/>
    <x v="57"/>
    <x v="44"/>
    <x v="0"/>
    <x v="9"/>
    <x v="12"/>
    <x v="12"/>
    <x v="42"/>
    <x v="43"/>
    <x v="35"/>
    <x v="24"/>
    <x v="0"/>
    <x v="25"/>
    <x v="0"/>
    <x v="1"/>
    <x v="6"/>
    <x v="1"/>
    <x v="1"/>
    <x v="0"/>
    <x v="0"/>
    <x v="0"/>
    <x v="0"/>
    <x v="13"/>
    <x v="14"/>
    <x v="0"/>
    <x v="0"/>
    <x v="15"/>
    <x v="15"/>
    <x v="0"/>
    <x v="0"/>
    <x v="0"/>
    <x v="0"/>
    <x v="0"/>
    <x v="6"/>
    <x v="0"/>
    <x v="29"/>
    <x v="2"/>
    <x v="0"/>
    <x v="0"/>
    <x v="0"/>
    <x v="0"/>
    <x v="0"/>
    <x v="44"/>
    <x v="0"/>
    <x v="0"/>
  </r>
  <r>
    <x v="0"/>
    <x v="58"/>
    <x v="44"/>
    <x v="0"/>
    <x v="9"/>
    <x v="12"/>
    <x v="12"/>
    <x v="43"/>
    <x v="44"/>
    <x v="35"/>
    <x v="25"/>
    <x v="0"/>
    <x v="26"/>
    <x v="0"/>
    <x v="1"/>
    <x v="6"/>
    <x v="1"/>
    <x v="1"/>
    <x v="21"/>
    <x v="0"/>
    <x v="0"/>
    <x v="0"/>
    <x v="13"/>
    <x v="14"/>
    <x v="0"/>
    <x v="0"/>
    <x v="15"/>
    <x v="15"/>
    <x v="0"/>
    <x v="0"/>
    <x v="0"/>
    <x v="0"/>
    <x v="0"/>
    <x v="6"/>
    <x v="0"/>
    <x v="29"/>
    <x v="2"/>
    <x v="0"/>
    <x v="0"/>
    <x v="0"/>
    <x v="0"/>
    <x v="0"/>
    <x v="44"/>
    <x v="0"/>
    <x v="0"/>
  </r>
  <r>
    <x v="0"/>
    <x v="59"/>
    <x v="45"/>
    <x v="1"/>
    <x v="11"/>
    <x v="13"/>
    <x v="13"/>
    <x v="44"/>
    <x v="30"/>
    <x v="36"/>
    <x v="2"/>
    <x v="0"/>
    <x v="2"/>
    <x v="0"/>
    <x v="9"/>
    <x v="2"/>
    <x v="0"/>
    <x v="0"/>
    <x v="2"/>
    <x v="0"/>
    <x v="0"/>
    <x v="0"/>
    <x v="14"/>
    <x v="15"/>
    <x v="0"/>
    <x v="2"/>
    <x v="6"/>
    <x v="6"/>
    <x v="2"/>
    <x v="0"/>
    <x v="0"/>
    <x v="0"/>
    <x v="0"/>
    <x v="2"/>
    <x v="0"/>
    <x v="30"/>
    <x v="1"/>
    <x v="1"/>
    <x v="0"/>
    <x v="0"/>
    <x v="0"/>
    <x v="0"/>
    <x v="45"/>
    <x v="1"/>
    <x v="0"/>
  </r>
  <r>
    <x v="0"/>
    <x v="60"/>
    <x v="46"/>
    <x v="1"/>
    <x v="1"/>
    <x v="13"/>
    <x v="13"/>
    <x v="45"/>
    <x v="45"/>
    <x v="37"/>
    <x v="3"/>
    <x v="0"/>
    <x v="3"/>
    <x v="0"/>
    <x v="9"/>
    <x v="2"/>
    <x v="0"/>
    <x v="0"/>
    <x v="0"/>
    <x v="0"/>
    <x v="0"/>
    <x v="0"/>
    <x v="14"/>
    <x v="15"/>
    <x v="0"/>
    <x v="1"/>
    <x v="16"/>
    <x v="16"/>
    <x v="1"/>
    <x v="0"/>
    <x v="0"/>
    <x v="0"/>
    <x v="0"/>
    <x v="2"/>
    <x v="0"/>
    <x v="30"/>
    <x v="1"/>
    <x v="1"/>
    <x v="0"/>
    <x v="0"/>
    <x v="0"/>
    <x v="0"/>
    <x v="46"/>
    <x v="1"/>
    <x v="0"/>
  </r>
  <r>
    <x v="0"/>
    <x v="61"/>
    <x v="47"/>
    <x v="1"/>
    <x v="10"/>
    <x v="14"/>
    <x v="14"/>
    <x v="46"/>
    <x v="46"/>
    <x v="38"/>
    <x v="26"/>
    <x v="0"/>
    <x v="27"/>
    <x v="0"/>
    <x v="18"/>
    <x v="0"/>
    <x v="0"/>
    <x v="0"/>
    <x v="2"/>
    <x v="0"/>
    <x v="0"/>
    <x v="0"/>
    <x v="15"/>
    <x v="16"/>
    <x v="0"/>
    <x v="2"/>
    <x v="6"/>
    <x v="6"/>
    <x v="2"/>
    <x v="0"/>
    <x v="0"/>
    <x v="0"/>
    <x v="0"/>
    <x v="0"/>
    <x v="0"/>
    <x v="31"/>
    <x v="1"/>
    <x v="0"/>
    <x v="0"/>
    <x v="0"/>
    <x v="0"/>
    <x v="0"/>
    <x v="47"/>
    <x v="1"/>
    <x v="0"/>
  </r>
  <r>
    <x v="0"/>
    <x v="62"/>
    <x v="48"/>
    <x v="1"/>
    <x v="15"/>
    <x v="15"/>
    <x v="15"/>
    <x v="47"/>
    <x v="47"/>
    <x v="39"/>
    <x v="6"/>
    <x v="0"/>
    <x v="7"/>
    <x v="0"/>
    <x v="19"/>
    <x v="1"/>
    <x v="2"/>
    <x v="2"/>
    <x v="22"/>
    <x v="0"/>
    <x v="0"/>
    <x v="0"/>
    <x v="16"/>
    <x v="17"/>
    <x v="2"/>
    <x v="8"/>
    <x v="17"/>
    <x v="17"/>
    <x v="8"/>
    <x v="2"/>
    <x v="2"/>
    <x v="0"/>
    <x v="0"/>
    <x v="1"/>
    <x v="0"/>
    <x v="32"/>
    <x v="1"/>
    <x v="0"/>
    <x v="0"/>
    <x v="1"/>
    <x v="1"/>
    <x v="1"/>
    <x v="48"/>
    <x v="1"/>
    <x v="1"/>
  </r>
  <r>
    <x v="0"/>
    <x v="63"/>
    <x v="49"/>
    <x v="1"/>
    <x v="15"/>
    <x v="15"/>
    <x v="15"/>
    <x v="47"/>
    <x v="47"/>
    <x v="39"/>
    <x v="6"/>
    <x v="0"/>
    <x v="7"/>
    <x v="0"/>
    <x v="20"/>
    <x v="1"/>
    <x v="2"/>
    <x v="2"/>
    <x v="22"/>
    <x v="0"/>
    <x v="0"/>
    <x v="0"/>
    <x v="16"/>
    <x v="17"/>
    <x v="2"/>
    <x v="8"/>
    <x v="17"/>
    <x v="17"/>
    <x v="8"/>
    <x v="2"/>
    <x v="2"/>
    <x v="0"/>
    <x v="0"/>
    <x v="1"/>
    <x v="0"/>
    <x v="32"/>
    <x v="1"/>
    <x v="0"/>
    <x v="0"/>
    <x v="1"/>
    <x v="1"/>
    <x v="1"/>
    <x v="49"/>
    <x v="1"/>
    <x v="1"/>
  </r>
  <r>
    <x v="0"/>
    <x v="64"/>
    <x v="50"/>
    <x v="1"/>
    <x v="16"/>
    <x v="15"/>
    <x v="15"/>
    <x v="48"/>
    <x v="48"/>
    <x v="40"/>
    <x v="27"/>
    <x v="0"/>
    <x v="28"/>
    <x v="0"/>
    <x v="21"/>
    <x v="6"/>
    <x v="0"/>
    <x v="0"/>
    <x v="12"/>
    <x v="0"/>
    <x v="0"/>
    <x v="0"/>
    <x v="16"/>
    <x v="17"/>
    <x v="2"/>
    <x v="7"/>
    <x v="18"/>
    <x v="18"/>
    <x v="7"/>
    <x v="2"/>
    <x v="2"/>
    <x v="0"/>
    <x v="0"/>
    <x v="6"/>
    <x v="0"/>
    <x v="33"/>
    <x v="1"/>
    <x v="0"/>
    <x v="0"/>
    <x v="0"/>
    <x v="0"/>
    <x v="0"/>
    <x v="50"/>
    <x v="1"/>
    <x v="1"/>
  </r>
  <r>
    <x v="0"/>
    <x v="65"/>
    <x v="51"/>
    <x v="1"/>
    <x v="12"/>
    <x v="15"/>
    <x v="15"/>
    <x v="48"/>
    <x v="48"/>
    <x v="40"/>
    <x v="16"/>
    <x v="0"/>
    <x v="17"/>
    <x v="0"/>
    <x v="21"/>
    <x v="5"/>
    <x v="0"/>
    <x v="0"/>
    <x v="12"/>
    <x v="0"/>
    <x v="0"/>
    <x v="0"/>
    <x v="16"/>
    <x v="17"/>
    <x v="2"/>
    <x v="7"/>
    <x v="18"/>
    <x v="18"/>
    <x v="7"/>
    <x v="2"/>
    <x v="2"/>
    <x v="0"/>
    <x v="0"/>
    <x v="5"/>
    <x v="0"/>
    <x v="33"/>
    <x v="1"/>
    <x v="0"/>
    <x v="0"/>
    <x v="0"/>
    <x v="0"/>
    <x v="0"/>
    <x v="51"/>
    <x v="1"/>
    <x v="1"/>
  </r>
  <r>
    <x v="0"/>
    <x v="66"/>
    <x v="52"/>
    <x v="1"/>
    <x v="17"/>
    <x v="16"/>
    <x v="16"/>
    <x v="49"/>
    <x v="49"/>
    <x v="41"/>
    <x v="28"/>
    <x v="0"/>
    <x v="29"/>
    <x v="0"/>
    <x v="6"/>
    <x v="2"/>
    <x v="0"/>
    <x v="0"/>
    <x v="2"/>
    <x v="0"/>
    <x v="0"/>
    <x v="0"/>
    <x v="17"/>
    <x v="18"/>
    <x v="0"/>
    <x v="2"/>
    <x v="6"/>
    <x v="6"/>
    <x v="2"/>
    <x v="0"/>
    <x v="0"/>
    <x v="0"/>
    <x v="0"/>
    <x v="2"/>
    <x v="0"/>
    <x v="34"/>
    <x v="1"/>
    <x v="1"/>
    <x v="0"/>
    <x v="0"/>
    <x v="0"/>
    <x v="0"/>
    <x v="52"/>
    <x v="1"/>
    <x v="0"/>
  </r>
  <r>
    <x v="0"/>
    <x v="67"/>
    <x v="53"/>
    <x v="1"/>
    <x v="18"/>
    <x v="17"/>
    <x v="17"/>
    <x v="50"/>
    <x v="50"/>
    <x v="42"/>
    <x v="8"/>
    <x v="0"/>
    <x v="9"/>
    <x v="0"/>
    <x v="22"/>
    <x v="3"/>
    <x v="0"/>
    <x v="0"/>
    <x v="7"/>
    <x v="0"/>
    <x v="0"/>
    <x v="0"/>
    <x v="18"/>
    <x v="19"/>
    <x v="0"/>
    <x v="2"/>
    <x v="6"/>
    <x v="6"/>
    <x v="2"/>
    <x v="0"/>
    <x v="0"/>
    <x v="0"/>
    <x v="0"/>
    <x v="3"/>
    <x v="0"/>
    <x v="35"/>
    <x v="6"/>
    <x v="0"/>
    <x v="0"/>
    <x v="1"/>
    <x v="1"/>
    <x v="2"/>
    <x v="53"/>
    <x v="1"/>
    <x v="0"/>
  </r>
  <r>
    <x v="0"/>
    <x v="68"/>
    <x v="54"/>
    <x v="1"/>
    <x v="18"/>
    <x v="17"/>
    <x v="17"/>
    <x v="50"/>
    <x v="50"/>
    <x v="42"/>
    <x v="8"/>
    <x v="0"/>
    <x v="9"/>
    <x v="0"/>
    <x v="16"/>
    <x v="6"/>
    <x v="0"/>
    <x v="0"/>
    <x v="7"/>
    <x v="0"/>
    <x v="0"/>
    <x v="0"/>
    <x v="18"/>
    <x v="19"/>
    <x v="0"/>
    <x v="2"/>
    <x v="6"/>
    <x v="6"/>
    <x v="2"/>
    <x v="0"/>
    <x v="0"/>
    <x v="0"/>
    <x v="0"/>
    <x v="6"/>
    <x v="0"/>
    <x v="36"/>
    <x v="1"/>
    <x v="0"/>
    <x v="0"/>
    <x v="0"/>
    <x v="0"/>
    <x v="0"/>
    <x v="54"/>
    <x v="1"/>
    <x v="0"/>
  </r>
  <r>
    <x v="0"/>
    <x v="69"/>
    <x v="55"/>
    <x v="1"/>
    <x v="19"/>
    <x v="18"/>
    <x v="18"/>
    <x v="15"/>
    <x v="51"/>
    <x v="41"/>
    <x v="28"/>
    <x v="0"/>
    <x v="29"/>
    <x v="0"/>
    <x v="23"/>
    <x v="0"/>
    <x v="0"/>
    <x v="0"/>
    <x v="5"/>
    <x v="0"/>
    <x v="0"/>
    <x v="0"/>
    <x v="19"/>
    <x v="20"/>
    <x v="0"/>
    <x v="2"/>
    <x v="6"/>
    <x v="6"/>
    <x v="2"/>
    <x v="0"/>
    <x v="0"/>
    <x v="0"/>
    <x v="0"/>
    <x v="0"/>
    <x v="0"/>
    <x v="37"/>
    <x v="1"/>
    <x v="1"/>
    <x v="0"/>
    <x v="0"/>
    <x v="0"/>
    <x v="0"/>
    <x v="55"/>
    <x v="1"/>
    <x v="0"/>
  </r>
  <r>
    <x v="0"/>
    <x v="70"/>
    <x v="56"/>
    <x v="1"/>
    <x v="20"/>
    <x v="18"/>
    <x v="18"/>
    <x v="51"/>
    <x v="52"/>
    <x v="43"/>
    <x v="7"/>
    <x v="0"/>
    <x v="8"/>
    <x v="0"/>
    <x v="7"/>
    <x v="2"/>
    <x v="1"/>
    <x v="1"/>
    <x v="7"/>
    <x v="0"/>
    <x v="0"/>
    <x v="0"/>
    <x v="19"/>
    <x v="20"/>
    <x v="2"/>
    <x v="8"/>
    <x v="19"/>
    <x v="19"/>
    <x v="8"/>
    <x v="2"/>
    <x v="2"/>
    <x v="0"/>
    <x v="0"/>
    <x v="2"/>
    <x v="0"/>
    <x v="38"/>
    <x v="1"/>
    <x v="1"/>
    <x v="0"/>
    <x v="0"/>
    <x v="0"/>
    <x v="0"/>
    <x v="56"/>
    <x v="1"/>
    <x v="1"/>
  </r>
  <r>
    <x v="0"/>
    <x v="71"/>
    <x v="57"/>
    <x v="1"/>
    <x v="10"/>
    <x v="18"/>
    <x v="18"/>
    <x v="15"/>
    <x v="51"/>
    <x v="41"/>
    <x v="29"/>
    <x v="0"/>
    <x v="30"/>
    <x v="0"/>
    <x v="24"/>
    <x v="2"/>
    <x v="0"/>
    <x v="0"/>
    <x v="5"/>
    <x v="0"/>
    <x v="0"/>
    <x v="0"/>
    <x v="19"/>
    <x v="20"/>
    <x v="0"/>
    <x v="2"/>
    <x v="6"/>
    <x v="6"/>
    <x v="2"/>
    <x v="0"/>
    <x v="0"/>
    <x v="0"/>
    <x v="0"/>
    <x v="2"/>
    <x v="0"/>
    <x v="39"/>
    <x v="1"/>
    <x v="1"/>
    <x v="0"/>
    <x v="0"/>
    <x v="0"/>
    <x v="0"/>
    <x v="57"/>
    <x v="1"/>
    <x v="0"/>
  </r>
  <r>
    <x v="0"/>
    <x v="72"/>
    <x v="58"/>
    <x v="1"/>
    <x v="8"/>
    <x v="19"/>
    <x v="19"/>
    <x v="52"/>
    <x v="53"/>
    <x v="44"/>
    <x v="30"/>
    <x v="0"/>
    <x v="31"/>
    <x v="0"/>
    <x v="25"/>
    <x v="0"/>
    <x v="2"/>
    <x v="2"/>
    <x v="22"/>
    <x v="0"/>
    <x v="0"/>
    <x v="0"/>
    <x v="20"/>
    <x v="21"/>
    <x v="2"/>
    <x v="8"/>
    <x v="20"/>
    <x v="20"/>
    <x v="8"/>
    <x v="2"/>
    <x v="2"/>
    <x v="2"/>
    <x v="2"/>
    <x v="0"/>
    <x v="0"/>
    <x v="40"/>
    <x v="1"/>
    <x v="2"/>
    <x v="1"/>
    <x v="0"/>
    <x v="0"/>
    <x v="0"/>
    <x v="58"/>
    <x v="1"/>
    <x v="1"/>
  </r>
  <r>
    <x v="0"/>
    <x v="73"/>
    <x v="58"/>
    <x v="1"/>
    <x v="8"/>
    <x v="19"/>
    <x v="19"/>
    <x v="53"/>
    <x v="54"/>
    <x v="44"/>
    <x v="4"/>
    <x v="0"/>
    <x v="4"/>
    <x v="0"/>
    <x v="25"/>
    <x v="0"/>
    <x v="2"/>
    <x v="2"/>
    <x v="23"/>
    <x v="0"/>
    <x v="0"/>
    <x v="0"/>
    <x v="20"/>
    <x v="21"/>
    <x v="2"/>
    <x v="8"/>
    <x v="20"/>
    <x v="20"/>
    <x v="8"/>
    <x v="2"/>
    <x v="2"/>
    <x v="2"/>
    <x v="2"/>
    <x v="0"/>
    <x v="0"/>
    <x v="40"/>
    <x v="1"/>
    <x v="2"/>
    <x v="1"/>
    <x v="0"/>
    <x v="0"/>
    <x v="0"/>
    <x v="58"/>
    <x v="1"/>
    <x v="1"/>
  </r>
  <r>
    <x v="0"/>
    <x v="74"/>
    <x v="59"/>
    <x v="0"/>
    <x v="20"/>
    <x v="19"/>
    <x v="19"/>
    <x v="54"/>
    <x v="55"/>
    <x v="45"/>
    <x v="7"/>
    <x v="0"/>
    <x v="8"/>
    <x v="0"/>
    <x v="5"/>
    <x v="1"/>
    <x v="2"/>
    <x v="2"/>
    <x v="24"/>
    <x v="0"/>
    <x v="0"/>
    <x v="0"/>
    <x v="20"/>
    <x v="21"/>
    <x v="2"/>
    <x v="8"/>
    <x v="21"/>
    <x v="21"/>
    <x v="8"/>
    <x v="2"/>
    <x v="2"/>
    <x v="0"/>
    <x v="0"/>
    <x v="1"/>
    <x v="0"/>
    <x v="41"/>
    <x v="7"/>
    <x v="2"/>
    <x v="1"/>
    <x v="1"/>
    <x v="1"/>
    <x v="3"/>
    <x v="59"/>
    <x v="0"/>
    <x v="1"/>
  </r>
  <r>
    <x v="0"/>
    <x v="75"/>
    <x v="59"/>
    <x v="0"/>
    <x v="20"/>
    <x v="19"/>
    <x v="19"/>
    <x v="55"/>
    <x v="56"/>
    <x v="46"/>
    <x v="4"/>
    <x v="0"/>
    <x v="4"/>
    <x v="0"/>
    <x v="5"/>
    <x v="1"/>
    <x v="2"/>
    <x v="2"/>
    <x v="23"/>
    <x v="0"/>
    <x v="0"/>
    <x v="0"/>
    <x v="20"/>
    <x v="21"/>
    <x v="2"/>
    <x v="8"/>
    <x v="21"/>
    <x v="21"/>
    <x v="8"/>
    <x v="2"/>
    <x v="2"/>
    <x v="0"/>
    <x v="0"/>
    <x v="1"/>
    <x v="0"/>
    <x v="41"/>
    <x v="7"/>
    <x v="2"/>
    <x v="1"/>
    <x v="1"/>
    <x v="1"/>
    <x v="3"/>
    <x v="59"/>
    <x v="0"/>
    <x v="1"/>
  </r>
  <r>
    <x v="0"/>
    <x v="76"/>
    <x v="60"/>
    <x v="1"/>
    <x v="6"/>
    <x v="20"/>
    <x v="20"/>
    <x v="56"/>
    <x v="57"/>
    <x v="47"/>
    <x v="31"/>
    <x v="0"/>
    <x v="32"/>
    <x v="0"/>
    <x v="26"/>
    <x v="7"/>
    <x v="0"/>
    <x v="0"/>
    <x v="25"/>
    <x v="0"/>
    <x v="0"/>
    <x v="0"/>
    <x v="21"/>
    <x v="22"/>
    <x v="1"/>
    <x v="9"/>
    <x v="22"/>
    <x v="22"/>
    <x v="9"/>
    <x v="1"/>
    <x v="1"/>
    <x v="0"/>
    <x v="0"/>
    <x v="7"/>
    <x v="0"/>
    <x v="42"/>
    <x v="1"/>
    <x v="1"/>
    <x v="0"/>
    <x v="0"/>
    <x v="0"/>
    <x v="0"/>
    <x v="60"/>
    <x v="1"/>
    <x v="1"/>
  </r>
  <r>
    <x v="0"/>
    <x v="77"/>
    <x v="61"/>
    <x v="0"/>
    <x v="21"/>
    <x v="20"/>
    <x v="20"/>
    <x v="56"/>
    <x v="57"/>
    <x v="47"/>
    <x v="31"/>
    <x v="0"/>
    <x v="32"/>
    <x v="2"/>
    <x v="26"/>
    <x v="8"/>
    <x v="0"/>
    <x v="0"/>
    <x v="25"/>
    <x v="0"/>
    <x v="0"/>
    <x v="0"/>
    <x v="21"/>
    <x v="22"/>
    <x v="1"/>
    <x v="9"/>
    <x v="22"/>
    <x v="22"/>
    <x v="9"/>
    <x v="1"/>
    <x v="1"/>
    <x v="0"/>
    <x v="0"/>
    <x v="8"/>
    <x v="0"/>
    <x v="43"/>
    <x v="8"/>
    <x v="1"/>
    <x v="0"/>
    <x v="0"/>
    <x v="0"/>
    <x v="0"/>
    <x v="61"/>
    <x v="0"/>
    <x v="1"/>
  </r>
  <r>
    <x v="0"/>
    <x v="78"/>
    <x v="62"/>
    <x v="1"/>
    <x v="10"/>
    <x v="21"/>
    <x v="21"/>
    <x v="57"/>
    <x v="58"/>
    <x v="48"/>
    <x v="10"/>
    <x v="0"/>
    <x v="11"/>
    <x v="0"/>
    <x v="24"/>
    <x v="9"/>
    <x v="0"/>
    <x v="0"/>
    <x v="2"/>
    <x v="0"/>
    <x v="0"/>
    <x v="0"/>
    <x v="22"/>
    <x v="23"/>
    <x v="1"/>
    <x v="2"/>
    <x v="16"/>
    <x v="16"/>
    <x v="2"/>
    <x v="1"/>
    <x v="1"/>
    <x v="0"/>
    <x v="0"/>
    <x v="9"/>
    <x v="0"/>
    <x v="44"/>
    <x v="1"/>
    <x v="1"/>
    <x v="0"/>
    <x v="0"/>
    <x v="0"/>
    <x v="0"/>
    <x v="62"/>
    <x v="1"/>
    <x v="1"/>
  </r>
  <r>
    <x v="0"/>
    <x v="79"/>
    <x v="63"/>
    <x v="1"/>
    <x v="10"/>
    <x v="21"/>
    <x v="21"/>
    <x v="58"/>
    <x v="59"/>
    <x v="49"/>
    <x v="2"/>
    <x v="0"/>
    <x v="2"/>
    <x v="0"/>
    <x v="27"/>
    <x v="9"/>
    <x v="0"/>
    <x v="0"/>
    <x v="2"/>
    <x v="0"/>
    <x v="0"/>
    <x v="0"/>
    <x v="22"/>
    <x v="23"/>
    <x v="0"/>
    <x v="2"/>
    <x v="8"/>
    <x v="8"/>
    <x v="2"/>
    <x v="0"/>
    <x v="0"/>
    <x v="0"/>
    <x v="0"/>
    <x v="9"/>
    <x v="0"/>
    <x v="45"/>
    <x v="1"/>
    <x v="1"/>
    <x v="0"/>
    <x v="0"/>
    <x v="0"/>
    <x v="0"/>
    <x v="63"/>
    <x v="1"/>
    <x v="0"/>
  </r>
  <r>
    <x v="0"/>
    <x v="80"/>
    <x v="64"/>
    <x v="0"/>
    <x v="20"/>
    <x v="22"/>
    <x v="22"/>
    <x v="59"/>
    <x v="60"/>
    <x v="50"/>
    <x v="32"/>
    <x v="0"/>
    <x v="33"/>
    <x v="0"/>
    <x v="28"/>
    <x v="1"/>
    <x v="0"/>
    <x v="0"/>
    <x v="26"/>
    <x v="0"/>
    <x v="0"/>
    <x v="0"/>
    <x v="23"/>
    <x v="24"/>
    <x v="0"/>
    <x v="2"/>
    <x v="6"/>
    <x v="6"/>
    <x v="2"/>
    <x v="0"/>
    <x v="0"/>
    <x v="0"/>
    <x v="0"/>
    <x v="1"/>
    <x v="0"/>
    <x v="46"/>
    <x v="9"/>
    <x v="0"/>
    <x v="0"/>
    <x v="1"/>
    <x v="1"/>
    <x v="1"/>
    <x v="64"/>
    <x v="0"/>
    <x v="0"/>
  </r>
  <r>
    <x v="0"/>
    <x v="81"/>
    <x v="65"/>
    <x v="1"/>
    <x v="1"/>
    <x v="23"/>
    <x v="23"/>
    <x v="60"/>
    <x v="61"/>
    <x v="51"/>
    <x v="33"/>
    <x v="0"/>
    <x v="34"/>
    <x v="0"/>
    <x v="29"/>
    <x v="1"/>
    <x v="0"/>
    <x v="0"/>
    <x v="2"/>
    <x v="0"/>
    <x v="0"/>
    <x v="0"/>
    <x v="24"/>
    <x v="25"/>
    <x v="1"/>
    <x v="2"/>
    <x v="23"/>
    <x v="23"/>
    <x v="2"/>
    <x v="1"/>
    <x v="1"/>
    <x v="0"/>
    <x v="0"/>
    <x v="1"/>
    <x v="0"/>
    <x v="47"/>
    <x v="1"/>
    <x v="0"/>
    <x v="0"/>
    <x v="1"/>
    <x v="1"/>
    <x v="1"/>
    <x v="65"/>
    <x v="1"/>
    <x v="1"/>
  </r>
  <r>
    <x v="0"/>
    <x v="82"/>
    <x v="66"/>
    <x v="1"/>
    <x v="1"/>
    <x v="23"/>
    <x v="23"/>
    <x v="61"/>
    <x v="62"/>
    <x v="52"/>
    <x v="2"/>
    <x v="0"/>
    <x v="2"/>
    <x v="0"/>
    <x v="6"/>
    <x v="1"/>
    <x v="0"/>
    <x v="0"/>
    <x v="2"/>
    <x v="0"/>
    <x v="0"/>
    <x v="0"/>
    <x v="24"/>
    <x v="25"/>
    <x v="0"/>
    <x v="2"/>
    <x v="2"/>
    <x v="2"/>
    <x v="2"/>
    <x v="0"/>
    <x v="0"/>
    <x v="0"/>
    <x v="0"/>
    <x v="1"/>
    <x v="0"/>
    <x v="48"/>
    <x v="1"/>
    <x v="0"/>
    <x v="0"/>
    <x v="1"/>
    <x v="1"/>
    <x v="1"/>
    <x v="66"/>
    <x v="1"/>
    <x v="0"/>
  </r>
  <r>
    <x v="0"/>
    <x v="83"/>
    <x v="67"/>
    <x v="1"/>
    <x v="1"/>
    <x v="23"/>
    <x v="23"/>
    <x v="62"/>
    <x v="63"/>
    <x v="53"/>
    <x v="34"/>
    <x v="0"/>
    <x v="35"/>
    <x v="0"/>
    <x v="30"/>
    <x v="2"/>
    <x v="0"/>
    <x v="0"/>
    <x v="18"/>
    <x v="0"/>
    <x v="0"/>
    <x v="0"/>
    <x v="24"/>
    <x v="25"/>
    <x v="0"/>
    <x v="2"/>
    <x v="2"/>
    <x v="2"/>
    <x v="2"/>
    <x v="0"/>
    <x v="0"/>
    <x v="0"/>
    <x v="0"/>
    <x v="2"/>
    <x v="0"/>
    <x v="49"/>
    <x v="1"/>
    <x v="0"/>
    <x v="0"/>
    <x v="0"/>
    <x v="0"/>
    <x v="0"/>
    <x v="67"/>
    <x v="1"/>
    <x v="0"/>
  </r>
  <r>
    <x v="0"/>
    <x v="84"/>
    <x v="68"/>
    <x v="1"/>
    <x v="10"/>
    <x v="23"/>
    <x v="23"/>
    <x v="60"/>
    <x v="61"/>
    <x v="51"/>
    <x v="35"/>
    <x v="0"/>
    <x v="36"/>
    <x v="0"/>
    <x v="31"/>
    <x v="1"/>
    <x v="0"/>
    <x v="0"/>
    <x v="2"/>
    <x v="0"/>
    <x v="0"/>
    <x v="0"/>
    <x v="24"/>
    <x v="25"/>
    <x v="1"/>
    <x v="2"/>
    <x v="23"/>
    <x v="23"/>
    <x v="2"/>
    <x v="1"/>
    <x v="1"/>
    <x v="0"/>
    <x v="0"/>
    <x v="1"/>
    <x v="0"/>
    <x v="50"/>
    <x v="1"/>
    <x v="0"/>
    <x v="0"/>
    <x v="1"/>
    <x v="1"/>
    <x v="1"/>
    <x v="68"/>
    <x v="1"/>
    <x v="1"/>
  </r>
  <r>
    <x v="0"/>
    <x v="85"/>
    <x v="69"/>
    <x v="1"/>
    <x v="1"/>
    <x v="24"/>
    <x v="24"/>
    <x v="63"/>
    <x v="64"/>
    <x v="54"/>
    <x v="3"/>
    <x v="0"/>
    <x v="3"/>
    <x v="0"/>
    <x v="32"/>
    <x v="2"/>
    <x v="0"/>
    <x v="0"/>
    <x v="0"/>
    <x v="0"/>
    <x v="0"/>
    <x v="0"/>
    <x v="25"/>
    <x v="26"/>
    <x v="0"/>
    <x v="1"/>
    <x v="1"/>
    <x v="1"/>
    <x v="1"/>
    <x v="0"/>
    <x v="0"/>
    <x v="0"/>
    <x v="0"/>
    <x v="2"/>
    <x v="0"/>
    <x v="51"/>
    <x v="1"/>
    <x v="0"/>
    <x v="0"/>
    <x v="0"/>
    <x v="0"/>
    <x v="0"/>
    <x v="69"/>
    <x v="1"/>
    <x v="0"/>
  </r>
  <r>
    <x v="0"/>
    <x v="86"/>
    <x v="70"/>
    <x v="1"/>
    <x v="1"/>
    <x v="24"/>
    <x v="24"/>
    <x v="45"/>
    <x v="65"/>
    <x v="55"/>
    <x v="3"/>
    <x v="0"/>
    <x v="3"/>
    <x v="0"/>
    <x v="32"/>
    <x v="2"/>
    <x v="0"/>
    <x v="0"/>
    <x v="0"/>
    <x v="0"/>
    <x v="0"/>
    <x v="0"/>
    <x v="25"/>
    <x v="26"/>
    <x v="0"/>
    <x v="1"/>
    <x v="16"/>
    <x v="16"/>
    <x v="1"/>
    <x v="0"/>
    <x v="0"/>
    <x v="0"/>
    <x v="0"/>
    <x v="2"/>
    <x v="0"/>
    <x v="51"/>
    <x v="1"/>
    <x v="0"/>
    <x v="0"/>
    <x v="0"/>
    <x v="0"/>
    <x v="0"/>
    <x v="70"/>
    <x v="1"/>
    <x v="0"/>
  </r>
  <r>
    <x v="0"/>
    <x v="87"/>
    <x v="71"/>
    <x v="1"/>
    <x v="22"/>
    <x v="25"/>
    <x v="25"/>
    <x v="46"/>
    <x v="66"/>
    <x v="41"/>
    <x v="6"/>
    <x v="0"/>
    <x v="7"/>
    <x v="3"/>
    <x v="33"/>
    <x v="2"/>
    <x v="0"/>
    <x v="0"/>
    <x v="2"/>
    <x v="0"/>
    <x v="0"/>
    <x v="0"/>
    <x v="26"/>
    <x v="27"/>
    <x v="0"/>
    <x v="2"/>
    <x v="6"/>
    <x v="6"/>
    <x v="2"/>
    <x v="0"/>
    <x v="0"/>
    <x v="0"/>
    <x v="0"/>
    <x v="2"/>
    <x v="0"/>
    <x v="52"/>
    <x v="1"/>
    <x v="1"/>
    <x v="0"/>
    <x v="0"/>
    <x v="0"/>
    <x v="0"/>
    <x v="71"/>
    <x v="1"/>
    <x v="0"/>
  </r>
  <r>
    <x v="0"/>
    <x v="88"/>
    <x v="72"/>
    <x v="1"/>
    <x v="20"/>
    <x v="26"/>
    <x v="26"/>
    <x v="64"/>
    <x v="67"/>
    <x v="56"/>
    <x v="10"/>
    <x v="0"/>
    <x v="11"/>
    <x v="0"/>
    <x v="14"/>
    <x v="2"/>
    <x v="0"/>
    <x v="0"/>
    <x v="2"/>
    <x v="0"/>
    <x v="0"/>
    <x v="0"/>
    <x v="27"/>
    <x v="28"/>
    <x v="0"/>
    <x v="2"/>
    <x v="6"/>
    <x v="6"/>
    <x v="2"/>
    <x v="0"/>
    <x v="0"/>
    <x v="0"/>
    <x v="0"/>
    <x v="2"/>
    <x v="0"/>
    <x v="53"/>
    <x v="1"/>
    <x v="0"/>
    <x v="0"/>
    <x v="0"/>
    <x v="0"/>
    <x v="0"/>
    <x v="72"/>
    <x v="1"/>
    <x v="0"/>
  </r>
  <r>
    <x v="0"/>
    <x v="89"/>
    <x v="73"/>
    <x v="0"/>
    <x v="14"/>
    <x v="26"/>
    <x v="26"/>
    <x v="65"/>
    <x v="68"/>
    <x v="57"/>
    <x v="2"/>
    <x v="0"/>
    <x v="2"/>
    <x v="0"/>
    <x v="1"/>
    <x v="2"/>
    <x v="0"/>
    <x v="0"/>
    <x v="2"/>
    <x v="0"/>
    <x v="0"/>
    <x v="0"/>
    <x v="27"/>
    <x v="28"/>
    <x v="0"/>
    <x v="2"/>
    <x v="6"/>
    <x v="6"/>
    <x v="2"/>
    <x v="0"/>
    <x v="0"/>
    <x v="0"/>
    <x v="0"/>
    <x v="2"/>
    <x v="0"/>
    <x v="54"/>
    <x v="10"/>
    <x v="0"/>
    <x v="0"/>
    <x v="0"/>
    <x v="0"/>
    <x v="0"/>
    <x v="73"/>
    <x v="0"/>
    <x v="0"/>
  </r>
  <r>
    <x v="0"/>
    <x v="90"/>
    <x v="74"/>
    <x v="0"/>
    <x v="6"/>
    <x v="27"/>
    <x v="27"/>
    <x v="24"/>
    <x v="69"/>
    <x v="58"/>
    <x v="36"/>
    <x v="0"/>
    <x v="37"/>
    <x v="4"/>
    <x v="34"/>
    <x v="6"/>
    <x v="1"/>
    <x v="1"/>
    <x v="6"/>
    <x v="0"/>
    <x v="1"/>
    <x v="1"/>
    <x v="28"/>
    <x v="29"/>
    <x v="0"/>
    <x v="3"/>
    <x v="5"/>
    <x v="5"/>
    <x v="3"/>
    <x v="0"/>
    <x v="0"/>
    <x v="0"/>
    <x v="0"/>
    <x v="6"/>
    <x v="0"/>
    <x v="55"/>
    <x v="5"/>
    <x v="2"/>
    <x v="1"/>
    <x v="2"/>
    <x v="0"/>
    <x v="4"/>
    <x v="74"/>
    <x v="0"/>
    <x v="0"/>
  </r>
  <r>
    <x v="0"/>
    <x v="91"/>
    <x v="75"/>
    <x v="0"/>
    <x v="6"/>
    <x v="27"/>
    <x v="27"/>
    <x v="24"/>
    <x v="69"/>
    <x v="58"/>
    <x v="9"/>
    <x v="0"/>
    <x v="10"/>
    <x v="0"/>
    <x v="35"/>
    <x v="6"/>
    <x v="1"/>
    <x v="1"/>
    <x v="6"/>
    <x v="0"/>
    <x v="1"/>
    <x v="1"/>
    <x v="28"/>
    <x v="29"/>
    <x v="0"/>
    <x v="3"/>
    <x v="5"/>
    <x v="5"/>
    <x v="3"/>
    <x v="0"/>
    <x v="0"/>
    <x v="0"/>
    <x v="0"/>
    <x v="6"/>
    <x v="0"/>
    <x v="56"/>
    <x v="5"/>
    <x v="2"/>
    <x v="1"/>
    <x v="2"/>
    <x v="0"/>
    <x v="4"/>
    <x v="75"/>
    <x v="0"/>
    <x v="0"/>
  </r>
  <r>
    <x v="0"/>
    <x v="92"/>
    <x v="76"/>
    <x v="1"/>
    <x v="1"/>
    <x v="28"/>
    <x v="28"/>
    <x v="66"/>
    <x v="70"/>
    <x v="59"/>
    <x v="3"/>
    <x v="0"/>
    <x v="3"/>
    <x v="0"/>
    <x v="21"/>
    <x v="2"/>
    <x v="0"/>
    <x v="0"/>
    <x v="0"/>
    <x v="0"/>
    <x v="0"/>
    <x v="0"/>
    <x v="29"/>
    <x v="30"/>
    <x v="0"/>
    <x v="3"/>
    <x v="5"/>
    <x v="5"/>
    <x v="3"/>
    <x v="0"/>
    <x v="0"/>
    <x v="0"/>
    <x v="0"/>
    <x v="2"/>
    <x v="0"/>
    <x v="57"/>
    <x v="1"/>
    <x v="0"/>
    <x v="0"/>
    <x v="0"/>
    <x v="0"/>
    <x v="0"/>
    <x v="76"/>
    <x v="1"/>
    <x v="0"/>
  </r>
  <r>
    <x v="0"/>
    <x v="93"/>
    <x v="77"/>
    <x v="1"/>
    <x v="1"/>
    <x v="28"/>
    <x v="28"/>
    <x v="66"/>
    <x v="70"/>
    <x v="59"/>
    <x v="37"/>
    <x v="0"/>
    <x v="38"/>
    <x v="0"/>
    <x v="32"/>
    <x v="1"/>
    <x v="0"/>
    <x v="0"/>
    <x v="0"/>
    <x v="0"/>
    <x v="0"/>
    <x v="0"/>
    <x v="29"/>
    <x v="30"/>
    <x v="0"/>
    <x v="3"/>
    <x v="5"/>
    <x v="5"/>
    <x v="3"/>
    <x v="0"/>
    <x v="0"/>
    <x v="0"/>
    <x v="0"/>
    <x v="1"/>
    <x v="0"/>
    <x v="58"/>
    <x v="1"/>
    <x v="0"/>
    <x v="0"/>
    <x v="1"/>
    <x v="1"/>
    <x v="1"/>
    <x v="77"/>
    <x v="1"/>
    <x v="0"/>
  </r>
  <r>
    <x v="0"/>
    <x v="94"/>
    <x v="78"/>
    <x v="1"/>
    <x v="1"/>
    <x v="28"/>
    <x v="28"/>
    <x v="46"/>
    <x v="71"/>
    <x v="60"/>
    <x v="10"/>
    <x v="0"/>
    <x v="11"/>
    <x v="0"/>
    <x v="36"/>
    <x v="1"/>
    <x v="0"/>
    <x v="0"/>
    <x v="2"/>
    <x v="0"/>
    <x v="0"/>
    <x v="0"/>
    <x v="29"/>
    <x v="30"/>
    <x v="0"/>
    <x v="2"/>
    <x v="6"/>
    <x v="6"/>
    <x v="2"/>
    <x v="0"/>
    <x v="0"/>
    <x v="0"/>
    <x v="0"/>
    <x v="1"/>
    <x v="0"/>
    <x v="59"/>
    <x v="1"/>
    <x v="0"/>
    <x v="0"/>
    <x v="1"/>
    <x v="1"/>
    <x v="1"/>
    <x v="78"/>
    <x v="1"/>
    <x v="0"/>
  </r>
  <r>
    <x v="1"/>
    <x v="95"/>
    <x v="79"/>
    <x v="2"/>
    <x v="23"/>
    <x v="29"/>
    <x v="29"/>
    <x v="67"/>
    <x v="72"/>
    <x v="61"/>
    <x v="38"/>
    <x v="0"/>
    <x v="39"/>
    <x v="0"/>
    <x v="2"/>
    <x v="6"/>
    <x v="1"/>
    <x v="1"/>
    <x v="27"/>
    <x v="2"/>
    <x v="2"/>
    <x v="2"/>
    <x v="28"/>
    <x v="29"/>
    <x v="3"/>
    <x v="10"/>
    <x v="24"/>
    <x v="24"/>
    <x v="10"/>
    <x v="3"/>
    <x v="3"/>
    <x v="3"/>
    <x v="3"/>
    <x v="6"/>
    <x v="0"/>
    <x v="60"/>
    <x v="1"/>
    <x v="3"/>
    <x v="2"/>
    <x v="0"/>
    <x v="0"/>
    <x v="0"/>
    <x v="79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la pivot4" cacheId="13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33" firstHeaderRow="1" firstDataRow="1" firstDataCol="1"/>
  <pivotFields count="47">
    <pivotField showAll="0"/>
    <pivotField showAll="0"/>
    <pivotField showAll="0"/>
    <pivotField showAll="0"/>
    <pivotField showAll="0"/>
    <pivotField showAll="0"/>
    <pivotField axis="axisRow" showAll="0">
      <items count="172">
        <item sd="0" x="20"/>
        <item sd="0" x="1"/>
        <item sd="0" m="1" x="70"/>
        <item sd="0" x="7"/>
        <item sd="0" m="1" x="52"/>
        <item sd="0" m="1" x="58"/>
        <item sd="0" m="1" x="37"/>
        <item sd="0" x="12"/>
        <item sd="0" m="1" x="76"/>
        <item sd="0" x="23"/>
        <item sd="0" m="1" x="83"/>
        <item sd="0" m="1" x="123"/>
        <item sd="0" x="4"/>
        <item sd="0" x="9"/>
        <item sd="0" x="8"/>
        <item sd="0" x="14"/>
        <item sd="0" x="18"/>
        <item sd="0" m="1" x="67"/>
        <item sd="0" m="1" x="110"/>
        <item sd="0" m="1" x="95"/>
        <item sd="0" x="6"/>
        <item sd="0" m="1" x="57"/>
        <item sd="0" m="1" x="62"/>
        <item sd="0" m="1" x="136"/>
        <item sd="0" m="1" x="43"/>
        <item sd="0" m="1" x="50"/>
        <item sd="0" m="1" x="92"/>
        <item sd="0" x="22"/>
        <item sd="0" m="1" x="106"/>
        <item sd="0" m="1" x="85"/>
        <item sd="0" m="1" x="35"/>
        <item sd="0" m="1" x="166"/>
        <item sd="0" x="16"/>
        <item sd="0" x="13"/>
        <item sd="0" x="15"/>
        <item sd="0" m="1" x="49"/>
        <item sd="0" x="5"/>
        <item sd="0" x="2"/>
        <item sd="0" m="1" x="48"/>
        <item sd="0" x="10"/>
        <item sd="0" x="24"/>
        <item sd="0" m="1" x="34"/>
        <item h="1" sd="0" x="29"/>
        <item sd="0" m="1" x="66"/>
        <item sd="0" x="0"/>
        <item sd="0" x="3"/>
        <item sd="0" m="1" x="60"/>
        <item sd="0" m="1" x="64"/>
        <item sd="0" m="1" x="117"/>
        <item sd="0" m="1" x="169"/>
        <item sd="0" m="1" x="168"/>
        <item sd="0" m="1" x="103"/>
        <item sd="0" m="1" x="111"/>
        <item sd="0" m="1" x="170"/>
        <item sd="0" m="1" x="167"/>
        <item sd="0" x="19"/>
        <item sd="0" m="1" x="164"/>
        <item sd="0" m="1" x="42"/>
        <item sd="0" m="1" x="165"/>
        <item sd="0" m="1" x="86"/>
        <item sd="0" m="1" x="105"/>
        <item sd="0" m="1" x="69"/>
        <item sd="0" m="1" x="80"/>
        <item sd="0" m="1" x="138"/>
        <item sd="0" m="1" x="145"/>
        <item sd="0" m="1" x="77"/>
        <item sd="0" m="1" x="46"/>
        <item sd="0" m="1" x="79"/>
        <item sd="0" m="1" x="100"/>
        <item sd="0" m="1" x="127"/>
        <item sd="0" m="1" x="78"/>
        <item sd="0" m="1" x="160"/>
        <item sd="0" m="1" x="163"/>
        <item sd="0" m="1" x="39"/>
        <item sd="0" m="1" x="112"/>
        <item sd="0" m="1" x="139"/>
        <item sd="0" m="1" x="162"/>
        <item sd="0" m="1" x="101"/>
        <item sd="0" m="1" x="134"/>
        <item sd="0" m="1" x="142"/>
        <item sd="0" m="1" x="109"/>
        <item sd="0" m="1" x="159"/>
        <item sd="0" m="1" x="161"/>
        <item sd="0" m="1" x="65"/>
        <item sd="0" m="1" x="81"/>
        <item sd="0" m="1" x="158"/>
        <item sd="0" m="1" x="91"/>
        <item sd="0" m="1" x="157"/>
        <item sd="0" m="1" x="156"/>
        <item sd="0" m="1" x="155"/>
        <item sd="0" m="1" x="124"/>
        <item sd="0" m="1" x="107"/>
        <item sd="0" m="1" x="96"/>
        <item sd="0" m="1" x="72"/>
        <item sd="0" x="11"/>
        <item sd="0" m="1" x="33"/>
        <item sd="0" m="1" x="153"/>
        <item sd="0" m="1" x="154"/>
        <item sd="0" m="1" x="88"/>
        <item sd="0" m="1" x="152"/>
        <item sd="0" m="1" x="146"/>
        <item sd="0" m="1" x="151"/>
        <item sd="0" m="1" x="118"/>
        <item sd="0" m="1" x="150"/>
        <item sd="0" m="1" x="149"/>
        <item sd="0" m="1" x="32"/>
        <item sd="0" m="1" x="68"/>
        <item sd="0" m="1" x="148"/>
        <item sd="0" x="25"/>
        <item sd="0" m="1" x="93"/>
        <item sd="0" m="1" x="147"/>
        <item sd="0" m="1" x="63"/>
        <item sd="0" m="1" x="55"/>
        <item sd="0" m="1" x="40"/>
        <item sd="0" m="1" x="143"/>
        <item sd="0" m="1" x="74"/>
        <item sd="0" m="1" x="61"/>
        <item sd="0" x="21"/>
        <item sd="0" m="1" x="144"/>
        <item sd="0" m="1" x="140"/>
        <item sd="0" m="1" x="141"/>
        <item sd="0" m="1" x="137"/>
        <item sd="0" m="1" x="130"/>
        <item sd="0" m="1" x="135"/>
        <item sd="0" x="17"/>
        <item sd="0" x="28"/>
        <item sd="0" m="1" x="30"/>
        <item sd="0" m="1" x="71"/>
        <item sd="0" m="1" x="133"/>
        <item sd="0" m="1" x="132"/>
        <item sd="0" m="1" x="36"/>
        <item sd="0" m="1" x="51"/>
        <item sd="0" m="1" x="131"/>
        <item sd="0" m="1" x="128"/>
        <item sd="0" m="1" x="38"/>
        <item sd="0" m="1" x="129"/>
        <item sd="0" m="1" x="119"/>
        <item sd="0" m="1" x="97"/>
        <item sd="0" m="1" x="98"/>
        <item sd="0" m="1" x="120"/>
        <item sd="0" m="1" x="121"/>
        <item sd="0" m="1" x="122"/>
        <item sd="0" m="1" x="125"/>
        <item sd="0" m="1" x="126"/>
        <item sd="0" m="1" x="114"/>
        <item sd="0" m="1" x="115"/>
        <item sd="0" m="1" x="44"/>
        <item sd="0" m="1" x="113"/>
        <item sd="0" m="1" x="54"/>
        <item sd="0" m="1" x="116"/>
        <item sd="0" m="1" x="87"/>
        <item sd="0" m="1" x="59"/>
        <item sd="0" m="1" x="108"/>
        <item sd="0" m="1" x="102"/>
        <item sd="0" m="1" x="104"/>
        <item sd="0" m="1" x="47"/>
        <item sd="0" m="1" x="99"/>
        <item sd="0" m="1" x="90"/>
        <item sd="0" m="1" x="73"/>
        <item sd="0" m="1" x="53"/>
        <item sd="0" m="1" x="94"/>
        <item sd="0" x="26"/>
        <item sd="0" m="1" x="89"/>
        <item sd="0" m="1" x="84"/>
        <item sd="0" m="1" x="31"/>
        <item sd="0" m="1" x="82"/>
        <item sd="0" m="1" x="75"/>
        <item sd="0" m="1" x="56"/>
        <item sd="0" m="1" x="41"/>
        <item sd="0" m="1" x="45"/>
        <item sd="0" x="2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>
      <items count="400">
        <item sd="0" m="1" x="370"/>
        <item sd="0" m="1" x="371"/>
        <item sd="0" m="1" x="396"/>
        <item sd="0" m="1" x="397"/>
        <item sd="0" m="1" x="378"/>
        <item sd="0" m="1" x="384"/>
        <item sd="0" m="1" x="381"/>
        <item sd="0" m="1" x="387"/>
        <item sd="0" m="1" x="388"/>
        <item sd="0" m="1" x="386"/>
        <item sd="0" m="1" x="380"/>
        <item sd="0" m="1" x="374"/>
        <item sd="0" m="1" x="375"/>
        <item sd="0" m="1" x="365"/>
        <item sd="0" m="1" x="398"/>
        <item sd="0" m="1" x="379"/>
        <item sd="0" m="1" x="366"/>
        <item sd="0" m="1" x="363"/>
        <item sd="0" m="1" x="357"/>
        <item sd="0" m="1" x="328"/>
        <item sd="0" m="1" x="183"/>
        <item sd="0" m="1" x="348"/>
        <item sd="0" m="1" x="331"/>
        <item sd="0" m="1" x="310"/>
        <item h="1" sd="0" x="0"/>
        <item sd="0" m="1" x="50"/>
        <item sd="0" m="1" x="292"/>
        <item sd="0" m="1" x="389"/>
        <item sd="0" m="1" x="390"/>
        <item sd="0" m="1" x="325"/>
        <item sd="0" m="1" x="391"/>
        <item sd="0" m="1" x="392"/>
        <item sd="0" m="1" x="393"/>
        <item sd="0" m="1" x="276"/>
        <item sd="0" m="1" x="369"/>
        <item sd="0" m="1" x="320"/>
        <item sd="0" m="1" x="344"/>
        <item sd="0" m="1" x="263"/>
        <item sd="0" m="1" x="394"/>
        <item sd="0" m="1" x="395"/>
        <item sd="0" m="1" x="376"/>
        <item sd="0" m="1" x="385"/>
        <item sd="0" m="1" x="362"/>
        <item sd="0" m="1" x="383"/>
        <item sd="0" m="1" x="367"/>
        <item sd="0" m="1" x="377"/>
        <item sd="0" m="1" x="382"/>
        <item sd="0" m="1" x="354"/>
        <item sd="0" m="1" x="143"/>
        <item sd="0" m="1" x="373"/>
        <item sd="0" m="1" x="368"/>
        <item sd="0" m="1" x="144"/>
        <item sd="0" m="1" x="364"/>
        <item sd="0" m="1" x="340"/>
        <item sd="0" m="1" x="145"/>
        <item sd="0" m="1" x="336"/>
        <item sd="0" m="1" x="361"/>
        <item sd="0" m="1" x="356"/>
        <item sd="0" m="1" x="350"/>
        <item sd="0" m="1" x="322"/>
        <item sd="0" m="1" x="372"/>
        <item sd="0" m="1" x="300"/>
        <item sd="0" m="1" x="306"/>
        <item sd="0" m="1" x="286"/>
        <item sd="0" m="1" x="359"/>
        <item sd="0" m="1" x="349"/>
        <item sd="0" m="1" x="146"/>
        <item sd="0" m="1" x="351"/>
        <item sd="0" m="1" x="360"/>
        <item sd="0" m="1" x="355"/>
        <item sd="0" m="1" x="358"/>
        <item sd="0" m="1" x="334"/>
        <item sd="0" m="1" x="353"/>
        <item sd="0" m="1" x="352"/>
        <item sd="0" m="1" x="335"/>
        <item sd="0" m="1" x="342"/>
        <item sd="0" m="1" x="339"/>
        <item sd="0" m="1" x="337"/>
        <item sd="0" m="1" x="347"/>
        <item sd="0" m="1" x="343"/>
        <item sd="0" m="1" x="332"/>
        <item sd="0" m="1" x="311"/>
        <item sd="0" m="1" x="308"/>
        <item sd="0" m="1" x="345"/>
        <item sd="0" m="1" x="341"/>
        <item sd="0" m="1" x="323"/>
        <item sd="0" m="1" x="301"/>
        <item sd="0" m="1" x="294"/>
        <item sd="0" m="1" x="346"/>
        <item sd="0" m="1" x="317"/>
        <item sd="0" m="1" x="173"/>
        <item sd="0" m="1" x="329"/>
        <item sd="0" m="1" x="338"/>
        <item sd="0" m="1" x="333"/>
        <item sd="0" m="1" x="327"/>
        <item sd="0" m="1" x="299"/>
        <item sd="0" m="1" x="330"/>
        <item sd="0" m="1" x="303"/>
        <item sd="0" m="1" x="318"/>
        <item sd="0" m="1" x="154"/>
        <item sd="0" m="1" x="304"/>
        <item sd="0" m="1" x="274"/>
        <item sd="0" m="1" x="296"/>
        <item sd="0" m="1" x="312"/>
        <item sd="0" m="1" x="319"/>
        <item sd="0" m="1" x="305"/>
        <item sd="0" m="1" x="324"/>
        <item sd="0" m="1" x="321"/>
        <item sd="0" m="1" x="326"/>
        <item sd="0" m="1" x="165"/>
        <item sd="0" m="1" x="316"/>
        <item sd="0" m="1" x="295"/>
        <item sd="0" m="1" x="309"/>
        <item sd="0" m="1" x="314"/>
        <item sd="0" m="1" x="315"/>
        <item sd="0" m="1" x="307"/>
        <item sd="0" m="1" x="313"/>
        <item sd="0" m="1" x="302"/>
        <item sd="0" m="1" x="287"/>
        <item sd="0" m="1" x="177"/>
        <item sd="0" m="1" x="293"/>
        <item sd="0" m="1" x="297"/>
        <item sd="0" m="1" x="290"/>
        <item sd="0" m="1" x="298"/>
        <item sd="0" m="1" x="281"/>
        <item sd="0" m="1" x="280"/>
        <item sd="0" m="1" x="266"/>
        <item sd="0" m="1" x="275"/>
        <item sd="0" m="1" x="185"/>
        <item sd="0" m="1" x="291"/>
        <item sd="0" m="1" x="285"/>
        <item sd="0" m="1" x="289"/>
        <item sd="0" m="1" x="278"/>
        <item sd="0" m="1" x="284"/>
        <item sd="0" m="1" x="178"/>
        <item sd="0" m="1" x="282"/>
        <item sd="0" m="1" x="288"/>
        <item sd="0" m="1" x="188"/>
        <item sd="0" m="1" x="260"/>
        <item sd="0" m="1" x="283"/>
        <item sd="0" m="1" x="187"/>
        <item sd="0" m="1" x="277"/>
        <item sd="0" m="1" x="272"/>
        <item sd="0" m="1" x="261"/>
        <item sd="0" m="1" x="253"/>
        <item sd="0" m="1" x="279"/>
        <item sd="0" m="1" x="244"/>
        <item sd="0" m="1" x="268"/>
        <item sd="0" m="1" x="273"/>
        <item sd="0" m="1" x="267"/>
        <item sd="0" m="1" x="269"/>
        <item sd="0" m="1" x="271"/>
        <item sd="0" m="1" x="270"/>
        <item sd="0" m="1" x="255"/>
        <item sd="0" m="1" x="250"/>
        <item sd="0" m="1" x="264"/>
        <item sd="0" m="1" x="265"/>
        <item sd="0" m="1" x="262"/>
        <item sd="0" m="1" x="247"/>
        <item sd="0" m="1" x="252"/>
        <item sd="0" m="1" x="245"/>
        <item sd="0" m="1" x="259"/>
        <item sd="0" m="1" x="258"/>
        <item sd="0" m="1" x="257"/>
        <item sd="0" m="1" x="251"/>
        <item sd="0" m="1" x="256"/>
        <item sd="0" m="1" x="221"/>
        <item sd="0" m="1" x="235"/>
        <item sd="0" m="1" x="227"/>
        <item sd="0" m="1" x="181"/>
        <item sd="0" m="1" x="248"/>
        <item sd="0" m="1" x="254"/>
        <item sd="0" m="1" x="243"/>
        <item sd="0" m="1" x="246"/>
        <item sd="0" m="1" x="176"/>
        <item sd="0" m="1" x="237"/>
        <item sd="0" m="1" x="238"/>
        <item sd="0" m="1" x="236"/>
        <item sd="0" m="1" x="249"/>
        <item sd="0" m="1" x="174"/>
        <item sd="0" m="1" x="229"/>
        <item sd="0" m="1" x="242"/>
        <item sd="0" m="1" x="239"/>
        <item sd="0" m="1" x="232"/>
        <item sd="0" m="1" x="212"/>
        <item sd="0" m="1" x="215"/>
        <item sd="0" m="1" x="241"/>
        <item sd="0" m="1" x="240"/>
        <item sd="0" m="1" x="226"/>
        <item sd="0" m="1" x="231"/>
        <item sd="0" m="1" x="203"/>
        <item sd="0" m="1" x="219"/>
        <item sd="0" m="1" x="208"/>
        <item sd="0" m="1" x="220"/>
        <item sd="0" m="1" x="140"/>
        <item sd="0" m="1" x="234"/>
        <item sd="0" m="1" x="233"/>
        <item sd="0" m="1" x="230"/>
        <item sd="0" m="1" x="223"/>
        <item sd="0" m="1" x="137"/>
        <item sd="0" m="1" x="46"/>
        <item sd="0" m="1" x="217"/>
        <item sd="0" m="1" x="206"/>
        <item sd="0" m="1" x="182"/>
        <item sd="0" m="1" x="213"/>
        <item sd="0" m="1" x="228"/>
        <item sd="0" m="1" x="225"/>
        <item sd="0" m="1" x="224"/>
        <item sd="0" m="1" x="130"/>
        <item sd="0" m="1" x="96"/>
        <item sd="0" m="1" x="77"/>
        <item sd="0" m="1" x="68"/>
        <item sd="0" m="1" x="141"/>
        <item sd="0" m="1" x="134"/>
        <item sd="0" m="1" x="216"/>
        <item sd="0" m="1" x="209"/>
        <item sd="0" m="1" x="162"/>
        <item sd="0" m="1" x="95"/>
        <item sd="0" m="1" x="205"/>
        <item sd="0" m="1" x="135"/>
        <item sd="0" m="1" x="127"/>
        <item sd="0" m="1" x="86"/>
        <item sd="0" m="1" x="222"/>
        <item sd="0" m="1" x="214"/>
        <item sd="0" m="1" x="60"/>
        <item sd="0" m="1" x="218"/>
        <item sd="0" m="1" x="211"/>
        <item sd="0" m="1" x="210"/>
        <item sd="0" m="1" x="207"/>
        <item sd="0" m="1" x="204"/>
        <item sd="0" m="1" x="138"/>
        <item sd="0" m="1" x="119"/>
        <item sd="0" m="1" x="92"/>
        <item sd="0" m="1" x="128"/>
        <item sd="0" m="1" x="139"/>
        <item sd="0" m="1" x="123"/>
        <item sd="0" m="1" x="142"/>
        <item sd="0" m="1" x="147"/>
        <item sd="0" m="1" x="148"/>
        <item sd="0" m="1" x="149"/>
        <item sd="0" m="1" x="150"/>
        <item sd="0" m="1" x="151"/>
        <item sd="0" m="1" x="152"/>
        <item sd="0" m="1" x="153"/>
        <item sd="0" m="1" x="155"/>
        <item sd="0" m="1" x="156"/>
        <item sd="0" m="1" x="157"/>
        <item sd="0" m="1" x="158"/>
        <item sd="0" m="1" x="159"/>
        <item sd="0" m="1" x="160"/>
        <item sd="0" m="1" x="161"/>
        <item sd="0" m="1" x="163"/>
        <item sd="0" m="1" x="164"/>
        <item sd="0" m="1" x="166"/>
        <item sd="0" m="1" x="167"/>
        <item sd="0" m="1" x="168"/>
        <item sd="0" m="1" x="169"/>
        <item sd="0" m="1" x="170"/>
        <item sd="0" m="1" x="171"/>
        <item sd="0" m="1" x="172"/>
        <item sd="0" m="1" x="175"/>
        <item sd="0" m="1" x="179"/>
        <item sd="0" m="1" x="180"/>
        <item sd="0" m="1" x="184"/>
        <item sd="0" m="1" x="186"/>
        <item sd="0" m="1" x="189"/>
        <item sd="0" m="1" x="190"/>
        <item sd="0" m="1" x="191"/>
        <item sd="0" m="1" x="192"/>
        <item sd="0" m="1" x="193"/>
        <item sd="0" m="1" x="194"/>
        <item sd="0" m="1" x="195"/>
        <item sd="0" m="1" x="196"/>
        <item sd="0" m="1" x="197"/>
        <item sd="0" m="1" x="198"/>
        <item sd="0" m="1" x="199"/>
        <item sd="0" m="1" x="200"/>
        <item sd="0" m="1" x="201"/>
        <item sd="0" m="1" x="202"/>
        <item sd="0" m="1" x="124"/>
        <item sd="0" m="1" x="133"/>
        <item sd="0" m="1" x="104"/>
        <item sd="0" m="1" x="136"/>
        <item sd="0" m="1" x="131"/>
        <item sd="0" m="1" x="125"/>
        <item sd="0" m="1" x="126"/>
        <item sd="0" m="1" x="132"/>
        <item sd="0" m="1" x="112"/>
        <item sd="0" m="1" x="129"/>
        <item sd="0" m="1" x="110"/>
        <item sd="0" m="1" x="111"/>
        <item sd="0" m="1" x="117"/>
        <item sd="0" m="1" x="113"/>
        <item sd="0" m="1" x="56"/>
        <item sd="0" m="1" x="122"/>
        <item sd="0" m="1" x="120"/>
        <item sd="0" m="1" x="97"/>
        <item sd="0" m="1" x="108"/>
        <item sd="0" m="1" x="87"/>
        <item sd="0" m="1" x="67"/>
        <item sd="0" m="1" x="106"/>
        <item sd="0" m="1" x="121"/>
        <item sd="0" m="1" x="118"/>
        <item sd="0" m="1" x="105"/>
        <item sd="0" m="1" x="85"/>
        <item sd="0" m="1" x="100"/>
        <item sd="0" m="1" x="107"/>
        <item sd="0" m="1" x="94"/>
        <item sd="0" m="1" x="103"/>
        <item sd="0" m="1" x="99"/>
        <item sd="0" m="1" x="115"/>
        <item sd="0" m="1" x="91"/>
        <item sd="0" m="1" x="116"/>
        <item sd="0" m="1" x="114"/>
        <item sd="0" m="1" x="109"/>
        <item sd="0" m="1" x="102"/>
        <item sd="0" m="1" x="101"/>
        <item sd="0" m="1" x="98"/>
        <item sd="0" m="1" x="90"/>
        <item sd="0" m="1" x="89"/>
        <item sd="0" m="1" x="93"/>
        <item sd="0" m="1" x="65"/>
        <item sd="0" m="1" x="83"/>
        <item sd="0" m="1" x="79"/>
        <item sd="0" m="1" x="72"/>
        <item sd="0" m="1" x="39"/>
        <item sd="0" m="1" x="88"/>
        <item sd="0" m="1" x="64"/>
        <item sd="0" m="1" x="84"/>
        <item sd="0" m="1" x="43"/>
        <item sd="0" m="1" x="80"/>
        <item sd="0" m="1" x="82"/>
        <item sd="0" m="1" x="78"/>
        <item sd="0" m="1" x="76"/>
        <item sd="0" m="1" x="73"/>
        <item sd="0" m="1" x="54"/>
        <item sd="0" m="1" x="58"/>
        <item sd="0" m="1" x="81"/>
        <item sd="0" m="1" x="74"/>
        <item sd="0" m="1" x="34"/>
        <item sd="0" m="1" x="57"/>
        <item sd="0" m="1" x="75"/>
        <item sd="0" m="1" x="66"/>
        <item sd="0" m="1" x="41"/>
        <item sd="0" m="1" x="44"/>
        <item sd="0" m="1" x="38"/>
        <item sd="0" m="1" x="49"/>
        <item sd="0" m="1" x="48"/>
        <item sd="0" m="1" x="26"/>
        <item sd="0" m="1" x="59"/>
        <item sd="0" m="1" x="70"/>
        <item sd="0" m="1" x="71"/>
        <item sd="0" m="1" x="31"/>
        <item sd="0" m="1" x="69"/>
        <item sd="0" m="1" x="42"/>
        <item sd="0" m="1" x="37"/>
        <item sd="0" m="1" x="25"/>
        <item sd="0" m="1" x="40"/>
        <item sd="0" m="1" x="51"/>
        <item sd="0" m="1" x="52"/>
        <item sd="0" m="1" x="53"/>
        <item sd="0" m="1" x="55"/>
        <item sd="0" m="1" x="61"/>
        <item sd="0" m="1" x="62"/>
        <item sd="0" m="1" x="63"/>
        <item sd="0" m="1" x="21"/>
        <item sd="0" m="1" x="24"/>
        <item sd="0" m="1" x="45"/>
        <item sd="0" m="1" x="47"/>
        <item sd="0" m="1" x="23"/>
        <item sd="0" m="1" x="13"/>
        <item sd="0" m="1" x="36"/>
        <item sd="0" m="1" x="27"/>
        <item sd="0" x="2"/>
        <item sd="0" m="1" x="35"/>
        <item sd="0" m="1" x="6"/>
        <item sd="0" m="1" x="30"/>
        <item sd="0" x="1"/>
        <item sd="0" m="1" x="29"/>
        <item sd="0" m="1" x="32"/>
        <item sd="0" m="1" x="33"/>
        <item sd="0" m="1" x="28"/>
        <item sd="0" m="1" x="22"/>
        <item sd="0" m="1" x="8"/>
        <item sd="0" m="1" x="12"/>
        <item sd="0" x="3"/>
        <item sd="0" m="1" x="17"/>
        <item sd="0" m="1" x="19"/>
        <item sd="0" m="1" x="18"/>
        <item sd="0" m="1" x="20"/>
        <item sd="0" m="1" x="11"/>
        <item sd="0" m="1" x="14"/>
        <item sd="0" m="1" x="15"/>
        <item sd="0" m="1" x="16"/>
        <item sd="0" m="1" x="9"/>
        <item sd="0" m="1" x="10"/>
        <item sd="0" x="4"/>
        <item sd="0" m="1" x="7"/>
        <item sd="0" m="1" x="5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72">
        <item m="1" x="1213"/>
        <item m="1" x="1193"/>
        <item m="1" x="1115"/>
        <item m="1" x="1216"/>
        <item m="1" x="1206"/>
        <item m="1" x="1138"/>
        <item m="1" x="1076"/>
        <item m="1" x="990"/>
        <item m="1" x="1065"/>
        <item m="1" x="991"/>
        <item m="1" x="1312"/>
        <item m="1" x="993"/>
        <item m="1" x="1289"/>
        <item m="1" x="1091"/>
        <item m="1" x="1298"/>
        <item m="1" x="994"/>
        <item m="1" x="1299"/>
        <item m="1" x="995"/>
        <item m="1" x="1186"/>
        <item m="1" x="1245"/>
        <item m="1" x="1163"/>
        <item m="1" x="1164"/>
        <item m="1" x="1199"/>
        <item m="1" x="927"/>
        <item m="1" x="1077"/>
        <item m="1" x="1300"/>
        <item m="1" x="1264"/>
        <item m="1" x="1276"/>
        <item m="1" x="1176"/>
        <item m="1" x="1220"/>
        <item m="1" x="1179"/>
        <item m="1" x="1230"/>
        <item m="1" x="1190"/>
        <item m="1" x="1150"/>
        <item m="1" x="1247"/>
        <item m="1" x="1222"/>
        <item m="1" x="1214"/>
        <item m="1" x="1248"/>
        <item m="1" x="1223"/>
        <item m="1" x="1257"/>
        <item m="1" x="1224"/>
        <item m="1" x="1225"/>
        <item m="1" x="1253"/>
        <item m="1" x="1254"/>
        <item m="1" x="1151"/>
        <item m="1" x="1170"/>
        <item m="1" x="1101"/>
        <item m="1" x="1172"/>
        <item m="1" x="1173"/>
        <item m="1" x="1103"/>
        <item m="1" x="1014"/>
        <item m="1" x="1094"/>
        <item m="1" x="1469"/>
        <item m="1" x="1016"/>
        <item m="1" x="957"/>
        <item m="1" x="983"/>
        <item m="1" x="959"/>
        <item m="1" x="984"/>
        <item m="1" x="931"/>
        <item m="1" x="1018"/>
        <item m="1" x="960"/>
        <item m="1" x="932"/>
        <item m="1" x="1180"/>
        <item m="1" x="1143"/>
        <item m="1" x="895"/>
        <item m="1" x="1110"/>
        <item m="1" x="952"/>
        <item m="1" x="1229"/>
        <item m="1" x="1133"/>
        <item m="1" x="1088"/>
        <item m="1" x="903"/>
        <item m="1" x="1152"/>
        <item m="1" x="982"/>
        <item m="1" x="1147"/>
        <item m="1" x="1144"/>
        <item m="1" x="1132"/>
        <item m="1" x="944"/>
        <item m="1" x="933"/>
        <item m="1" x="801"/>
        <item m="1" x="748"/>
        <item m="1" x="867"/>
        <item m="1" x="884"/>
        <item m="1" x="694"/>
        <item m="1" x="835"/>
        <item m="1" x="487"/>
        <item m="1" x="854"/>
        <item m="1" x="836"/>
        <item m="1" x="965"/>
        <item m="1" x="666"/>
        <item m="1" x="638"/>
        <item m="1" x="553"/>
        <item m="1" x="667"/>
        <item m="1" x="608"/>
        <item m="1" x="763"/>
        <item m="1" x="609"/>
        <item m="1" x="668"/>
        <item m="1" x="554"/>
        <item m="1" x="706"/>
        <item m="1" x="1371"/>
        <item m="1" x="1400"/>
        <item m="1" x="1389"/>
        <item m="1" x="1382"/>
        <item m="1" x="1363"/>
        <item m="1" x="1268"/>
        <item m="1" x="1356"/>
        <item m="1" x="1304"/>
        <item m="1" x="1291"/>
        <item m="1" x="1326"/>
        <item m="1" x="1321"/>
        <item m="1" x="1032"/>
        <item m="1" x="1345"/>
        <item m="1" x="364"/>
        <item m="1" x="288"/>
        <item m="1" x="1263"/>
        <item m="1" x="1316"/>
        <item m="1" x="310"/>
        <item m="1" x="1273"/>
        <item m="1" x="1104"/>
        <item m="1" x="1259"/>
        <item m="1" x="1260"/>
        <item m="1" x="1271"/>
        <item m="1" x="1123"/>
        <item m="1" x="1240"/>
        <item m="1" x="909"/>
        <item m="1" x="1470"/>
        <item m="1" x="1456"/>
        <item m="1" x="1135"/>
        <item m="1" x="1261"/>
        <item m="1" x="1189"/>
        <item m="1" x="1359"/>
        <item m="1" x="1121"/>
        <item m="1" x="1262"/>
        <item m="1" x="1249"/>
        <item m="1" x="1063"/>
        <item h="1" x="79"/>
        <item m="1" x="1466"/>
        <item m="1" x="1118"/>
        <item m="1" x="1155"/>
        <item m="1" x="639"/>
        <item m="1" x="1167"/>
        <item m="1" x="610"/>
        <item m="1" x="640"/>
        <item m="1" x="471"/>
        <item m="1" x="573"/>
        <item m="1" x="998"/>
        <item m="1" x="422"/>
        <item m="1" x="1141"/>
        <item m="1" x="1415"/>
        <item m="1" x="472"/>
        <item m="1" x="473"/>
        <item m="1" x="555"/>
        <item m="1" x="574"/>
        <item m="1" x="474"/>
        <item m="1" x="444"/>
        <item m="1" x="1117"/>
        <item m="1" x="1451"/>
        <item m="1" x="1165"/>
        <item m="1" x="515"/>
        <item m="1" x="575"/>
        <item m="1" x="1184"/>
        <item m="1" x="1010"/>
        <item m="1" x="1122"/>
        <item m="1" x="913"/>
        <item m="1" x="911"/>
        <item m="1" x="912"/>
        <item m="1" x="1124"/>
        <item m="1" x="1467"/>
        <item m="1" x="896"/>
        <item x="3"/>
        <item m="1" x="1460"/>
        <item m="1" x="1148"/>
        <item m="1" x="429"/>
        <item m="1" x="1113"/>
        <item m="1" x="1153"/>
        <item m="1" x="1073"/>
        <item m="1" x="1462"/>
        <item m="1" x="1463"/>
        <item m="1" x="1464"/>
        <item m="1" x="1134"/>
        <item m="1" x="1468"/>
        <item m="1" x="1130"/>
        <item m="1" x="1458"/>
        <item m="1" x="910"/>
        <item m="1" x="1160"/>
        <item m="1" x="1156"/>
        <item m="1" x="411"/>
        <item m="1" x="641"/>
        <item m="1" x="516"/>
        <item m="1" x="410"/>
        <item x="4"/>
        <item m="1" x="445"/>
        <item m="1" x="423"/>
        <item m="1" x="430"/>
        <item m="1" x="1211"/>
        <item m="1" x="1212"/>
        <item m="1" x="1128"/>
        <item m="1" x="1108"/>
        <item m="1" x="1465"/>
        <item m="1" x="1095"/>
        <item m="1" x="1136"/>
        <item m="1" x="544"/>
        <item m="1" x="1461"/>
        <item m="1" x="1074"/>
        <item m="1" x="1129"/>
        <item m="1" x="1203"/>
        <item m="1" x="871"/>
        <item m="1" x="1071"/>
        <item m="1" x="1450"/>
        <item m="1" x="1140"/>
        <item m="1" x="1078"/>
        <item m="1" x="1093"/>
        <item m="1" x="892"/>
        <item m="1" x="1060"/>
        <item m="1" x="1457"/>
        <item m="1" x="1096"/>
        <item m="1" x="1120"/>
        <item m="1" x="1192"/>
        <item m="1" x="967"/>
        <item m="1" x="968"/>
        <item m="1" x="1454"/>
        <item m="1" x="908"/>
        <item m="1" x="928"/>
        <item m="1" x="1116"/>
        <item m="1" x="1092"/>
        <item m="1" x="924"/>
        <item m="1" x="1000"/>
        <item m="1" x="1105"/>
        <item m="1" x="1011"/>
        <item m="1" x="940"/>
        <item m="1" x="987"/>
        <item m="1" x="988"/>
        <item m="1" x="922"/>
        <item m="1" x="1106"/>
        <item m="1" x="1098"/>
        <item m="1" x="986"/>
        <item m="1" x="1012"/>
        <item m="1" x="1007"/>
        <item m="1" x="1068"/>
        <item m="1" x="945"/>
        <item m="1" x="1107"/>
        <item m="1" x="1024"/>
        <item m="1" x="981"/>
        <item m="1" x="1023"/>
        <item m="1" x="972"/>
        <item m="1" x="1013"/>
        <item m="1" x="1125"/>
        <item m="1" x="890"/>
        <item m="1" x="1185"/>
        <item m="1" x="899"/>
        <item m="1" x="860"/>
        <item m="1" x="1149"/>
        <item m="1" x="1455"/>
        <item m="1" x="929"/>
        <item m="1" x="1005"/>
        <item m="1" x="808"/>
        <item m="1" x="1459"/>
        <item m="1" x="1006"/>
        <item m="1" x="985"/>
        <item m="1" x="1111"/>
        <item m="1" x="1069"/>
        <item m="1" x="1020"/>
        <item m="1" x="970"/>
        <item m="1" x="1022"/>
        <item m="1" x="809"/>
        <item m="1" x="1079"/>
        <item m="1" x="1145"/>
        <item m="1" x="1452"/>
        <item m="1" x="1453"/>
        <item m="1" x="1009"/>
        <item m="1" x="770"/>
        <item m="1" x="1080"/>
        <item m="1" x="930"/>
        <item m="1" x="961"/>
        <item m="1" x="920"/>
        <item m="1" x="833"/>
        <item m="1" x="812"/>
        <item m="1" x="813"/>
        <item m="1" x="969"/>
        <item m="1" x="974"/>
        <item m="1" x="824"/>
        <item m="1" x="976"/>
        <item m="1" x="925"/>
        <item m="1" x="999"/>
        <item m="1" x="1064"/>
        <item m="1" x="1435"/>
        <item m="1" x="619"/>
        <item m="1" x="415"/>
        <item m="1" x="949"/>
        <item m="1" x="1008"/>
        <item m="1" x="878"/>
        <item m="1" x="1003"/>
        <item m="1" x="510"/>
        <item m="1" x="1081"/>
        <item m="1" x="1070"/>
        <item m="1" x="1004"/>
        <item m="1" x="906"/>
        <item m="1" x="935"/>
        <item m="1" x="1099"/>
        <item m="1" x="1085"/>
        <item m="1" x="941"/>
        <item m="1" x="962"/>
        <item m="1" x="1449"/>
        <item m="1" x="978"/>
        <item m="1" x="980"/>
        <item m="1" x="923"/>
        <item m="1" x="936"/>
        <item m="1" x="915"/>
        <item m="1" x="778"/>
        <item m="1" x="775"/>
        <item m="1" x="777"/>
        <item m="1" x="887"/>
        <item m="1" x="916"/>
        <item m="1" x="951"/>
        <item m="1" x="946"/>
        <item m="1" x="1089"/>
        <item m="1" x="1087"/>
        <item m="1" x="1137"/>
        <item m="1" x="1082"/>
        <item m="1" x="752"/>
        <item m="1" x="1072"/>
        <item m="1" x="725"/>
        <item m="1" x="685"/>
        <item m="1" x="879"/>
        <item m="1" x="347"/>
        <item m="1" x="773"/>
        <item m="1" x="771"/>
        <item m="1" x="861"/>
        <item m="1" x="790"/>
        <item m="1" x="1097"/>
        <item m="1" x="1002"/>
        <item m="1" x="902"/>
        <item m="1" x="811"/>
        <item m="1" x="937"/>
        <item m="1" x="901"/>
        <item m="1" x="891"/>
        <item m="1" x="966"/>
        <item m="1" x="963"/>
        <item m="1" x="853"/>
        <item m="1" x="566"/>
        <item m="1" x="681"/>
        <item m="1" x="702"/>
        <item m="1" x="772"/>
        <item m="1" x="939"/>
        <item m="1" x="977"/>
        <item m="1" x="838"/>
        <item m="1" x="905"/>
        <item m="1" x="973"/>
        <item m="1" x="996"/>
        <item m="1" x="297"/>
        <item m="1" x="947"/>
        <item m="1" x="864"/>
        <item m="1" x="953"/>
        <item m="1" x="807"/>
        <item m="1" x="195"/>
        <item m="1" x="265"/>
        <item m="1" x="975"/>
        <item m="1" x="907"/>
        <item m="1" x="971"/>
        <item m="1" x="866"/>
        <item m="1" x="511"/>
        <item m="1" x="306"/>
        <item m="1" x="307"/>
        <item m="1" x="275"/>
        <item m="1" x="918"/>
        <item m="1" x="305"/>
        <item m="1" x="859"/>
        <item m="1" x="877"/>
        <item m="1" x="840"/>
        <item m="1" x="870"/>
        <item m="1" x="869"/>
        <item m="1" x="819"/>
        <item m="1" x="926"/>
        <item m="1" x="680"/>
        <item m="1" x="876"/>
        <item m="1" x="740"/>
        <item m="1" x="806"/>
        <item m="1" x="373"/>
        <item m="1" x="821"/>
        <item m="1" x="764"/>
        <item m="1" x="942"/>
        <item m="1" x="798"/>
        <item m="1" x="873"/>
        <item m="1" x="888"/>
        <item m="1" x="781"/>
        <item m="1" x="1446"/>
        <item m="1" x="948"/>
        <item m="1" x="154"/>
        <item m="1" x="237"/>
        <item m="1" x="964"/>
        <item m="1" x="855"/>
        <item m="1" x="881"/>
        <item m="1" x="804"/>
        <item m="1" x="779"/>
        <item m="1" x="886"/>
        <item m="1" x="955"/>
        <item m="1" x="847"/>
        <item m="1" x="979"/>
        <item m="1" x="885"/>
        <item m="1" x="842"/>
        <item m="1" x="919"/>
        <item m="1" x="1447"/>
        <item m="1" x="897"/>
        <item m="1" x="837"/>
        <item m="1" x="914"/>
        <item m="1" x="260"/>
        <item m="1" x="784"/>
        <item m="1" x="868"/>
        <item m="1" x="831"/>
        <item m="1" x="954"/>
        <item m="1" x="880"/>
        <item m="1" x="780"/>
        <item m="1" x="1443"/>
        <item m="1" x="1448"/>
        <item m="1" x="1438"/>
        <item m="1" x="822"/>
        <item m="1" x="921"/>
        <item m="1" x="846"/>
        <item m="1" x="198"/>
        <item m="1" x="841"/>
        <item m="1" x="220"/>
        <item m="1" x="783"/>
        <item m="1" x="865"/>
        <item m="1" x="704"/>
        <item m="1" x="1420"/>
        <item m="1" x="889"/>
        <item m="1" x="1444"/>
        <item m="1" x="761"/>
        <item m="1" x="750"/>
        <item m="1" x="751"/>
        <item m="1" x="815"/>
        <item m="1" x="1440"/>
        <item m="1" x="1445"/>
        <item m="1" x="577"/>
        <item m="1" x="856"/>
        <item m="1" x="1432"/>
        <item m="1" x="743"/>
        <item m="1" x="744"/>
        <item m="1" x="545"/>
        <item m="1" x="803"/>
        <item m="1" x="724"/>
        <item m="1" x="844"/>
        <item m="1" x="850"/>
        <item m="1" x="823"/>
        <item m="1" x="697"/>
        <item m="1" x="898"/>
        <item m="1" x="720"/>
        <item m="1" x="643"/>
        <item m="1" x="745"/>
        <item m="1" x="851"/>
        <item m="1" x="852"/>
        <item m="1" x="746"/>
        <item m="1" x="845"/>
        <item m="1" x="1441"/>
        <item m="1" x="673"/>
        <item m="1" x="644"/>
        <item m="1" x="1433"/>
        <item m="1" x="1442"/>
        <item m="1" x="721"/>
        <item m="1" x="1437"/>
        <item m="1" x="1439"/>
        <item m="1" x="645"/>
        <item m="1" x="799"/>
        <item m="1" x="863"/>
        <item m="1" x="843"/>
        <item m="1" x="814"/>
        <item m="1" x="787"/>
        <item m="1" x="882"/>
        <item m="1" x="646"/>
        <item m="1" x="848"/>
        <item m="1" x="1419"/>
        <item m="1" x="1436"/>
        <item m="1" x="713"/>
        <item m="1" x="832"/>
        <item m="1" x="749"/>
        <item m="1" x="675"/>
        <item m="1" x="695"/>
        <item m="1" x="857"/>
        <item m="1" x="580"/>
        <item m="1" x="802"/>
        <item m="1" x="796"/>
        <item m="1" x="723"/>
        <item m="1" x="818"/>
        <item m="1" x="825"/>
        <item m="1" x="507"/>
        <item m="1" x="647"/>
        <item m="1" x="786"/>
        <item m="1" x="699"/>
        <item m="1" x="757"/>
        <item m="1" x="692"/>
        <item m="1" x="596"/>
        <item m="1" x="689"/>
        <item m="1" x="604"/>
        <item m="1" x="461"/>
        <item m="1" x="839"/>
        <item m="1" x="849"/>
        <item m="1" x="618"/>
        <item m="1" x="816"/>
        <item m="1" x="686"/>
        <item m="1" x="617"/>
        <item m="1" x="506"/>
        <item m="1" x="830"/>
        <item m="1" x="765"/>
        <item m="1" x="789"/>
        <item m="1" x="715"/>
        <item m="1" x="600"/>
        <item m="1" x="722"/>
        <item m="1" x="696"/>
        <item m="1" x="714"/>
        <item m="1" x="462"/>
        <item m="1" x="629"/>
        <item m="1" x="737"/>
        <item m="1" x="718"/>
        <item m="1" x="670"/>
        <item m="1" x="691"/>
        <item m="1" x="687"/>
        <item m="1" x="688"/>
        <item m="1" x="1434"/>
        <item m="1" x="791"/>
        <item m="1" x="826"/>
        <item m="1" x="759"/>
        <item m="1" x="766"/>
        <item m="1" x="767"/>
        <item m="1" x="562"/>
        <item m="1" x="755"/>
        <item m="1" x="1427"/>
        <item m="1" x="682"/>
        <item m="1" x="768"/>
        <item m="1" x="1430"/>
        <item m="1" x="602"/>
        <item m="1" x="700"/>
        <item m="1" x="827"/>
        <item m="1" x="738"/>
        <item m="1" x="728"/>
        <item m="1" x="754"/>
        <item m="1" x="797"/>
        <item m="1" x="698"/>
        <item m="1" x="817"/>
        <item m="1" x="828"/>
        <item m="1" x="829"/>
        <item m="1" x="793"/>
        <item m="1" x="795"/>
        <item m="1" x="616"/>
        <item m="1" x="509"/>
        <item m="1" x="753"/>
        <item m="1" x="736"/>
        <item m="1" x="613"/>
        <item m="1" x="547"/>
        <item m="1" x="716"/>
        <item m="1" x="711"/>
        <item m="1" x="614"/>
        <item m="1" x="1428"/>
        <item m="1" x="438"/>
        <item m="1" x="1431"/>
        <item m="1" x="762"/>
        <item m="1" x="536"/>
        <item m="1" x="769"/>
        <item m="1" x="546"/>
        <item m="1" x="810"/>
        <item m="1" x="730"/>
        <item m="1" x="533"/>
        <item m="1" x="490"/>
        <item m="1" x="747"/>
        <item m="1" x="627"/>
        <item m="1" x="683"/>
        <item m="1" x="792"/>
        <item m="1" x="651"/>
        <item m="1" x="678"/>
        <item m="1" x="1429"/>
        <item m="1" x="676"/>
        <item m="1" x="742"/>
        <item m="1" x="677"/>
        <item m="1" x="648"/>
        <item m="1" x="760"/>
        <item m="1" x="733"/>
        <item m="1" x="622"/>
        <item m="1" x="712"/>
        <item m="1" x="642"/>
        <item m="1" x="468"/>
        <item m="1" x="671"/>
        <item m="1" x="672"/>
        <item m="1" x="636"/>
        <item m="1" x="637"/>
        <item m="1" x="732"/>
        <item m="1" x="717"/>
        <item m="1" x="521"/>
        <item m="1" x="453"/>
        <item m="1" x="649"/>
        <item m="1" x="537"/>
        <item m="1" x="611"/>
        <item m="1" x="624"/>
        <item m="1" x="679"/>
        <item m="1" x="708"/>
        <item m="1" x="631"/>
        <item m="1" x="719"/>
        <item m="1" x="739"/>
        <item m="1" x="726"/>
        <item m="1" x="735"/>
        <item m="1" x="1426"/>
        <item m="1" x="623"/>
        <item m="1" x="674"/>
        <item m="1" x="650"/>
        <item m="1" x="701"/>
        <item m="1" x="581"/>
        <item m="1" x="707"/>
        <item m="1" x="548"/>
        <item m="1" x="731"/>
        <item m="1" x="709"/>
        <item m="1" x="568"/>
        <item m="1" x="1425"/>
        <item m="1" x="495"/>
        <item m="1" x="585"/>
        <item m="1" x="583"/>
        <item m="1" x="584"/>
        <item m="1" x="657"/>
        <item m="1" x="525"/>
        <item m="1" x="481"/>
        <item m="1" x="625"/>
        <item m="1" x="571"/>
        <item m="1" x="656"/>
        <item m="1" x="582"/>
        <item m="1" x="633"/>
        <item m="1" x="591"/>
        <item m="1" x="560"/>
        <item m="1" x="621"/>
        <item m="1" x="594"/>
        <item m="1" x="632"/>
        <item m="1" x="664"/>
        <item m="1" x="653"/>
        <item m="1" x="592"/>
        <item m="1" x="690"/>
        <item m="1" x="654"/>
        <item m="1" x="601"/>
        <item m="1" x="658"/>
        <item m="1" x="593"/>
        <item m="1" x="634"/>
        <item m="1" x="538"/>
        <item m="1" x="569"/>
        <item m="1" x="526"/>
        <item m="1" x="590"/>
        <item m="1" x="1417"/>
        <item m="1" x="478"/>
        <item m="1" x="665"/>
        <item m="1" x="669"/>
        <item m="1" x="693"/>
        <item m="1" x="626"/>
        <item m="1" x="558"/>
        <item m="1" x="331"/>
        <item m="1" x="365"/>
        <item m="1" x="1416"/>
        <item m="1" x="482"/>
        <item m="1" x="350"/>
        <item m="1" x="1421"/>
        <item m="1" x="1422"/>
        <item m="1" x="1424"/>
        <item m="1" x="587"/>
        <item m="1" x="586"/>
        <item m="1" x="550"/>
        <item m="1" x="578"/>
        <item m="1" x="496"/>
        <item m="1" x="489"/>
        <item m="1" x="518"/>
        <item m="1" x="684"/>
        <item m="1" x="598"/>
        <item m="1" x="589"/>
        <item m="1" x="579"/>
        <item m="1" x="1423"/>
        <item m="1" x="532"/>
        <item m="1" x="565"/>
        <item m="1" x="552"/>
        <item m="1" x="529"/>
        <item m="1" x="469"/>
        <item m="1" x="663"/>
        <item m="1" x="500"/>
        <item m="1" x="542"/>
        <item m="1" x="563"/>
        <item m="1" x="605"/>
        <item m="1" x="403"/>
        <item m="1" x="551"/>
        <item m="1" x="498"/>
        <item m="1" x="615"/>
        <item m="1" x="630"/>
        <item m="1" x="501"/>
        <item m="1" x="543"/>
        <item m="1" x="570"/>
        <item m="1" x="1418"/>
        <item m="1" x="1413"/>
        <item m="1" x="1414"/>
        <item m="1" x="333"/>
        <item m="1" x="603"/>
        <item m="1" x="635"/>
        <item m="1" x="517"/>
        <item m="1" x="1412"/>
        <item m="1" x="607"/>
        <item m="1" x="539"/>
        <item m="1" x="520"/>
        <item m="1" x="652"/>
        <item m="1" x="531"/>
        <item m="1" x="559"/>
        <item m="1" x="522"/>
        <item m="1" x="351"/>
        <item m="1" x="504"/>
        <item m="1" x="595"/>
        <item m="1" x="599"/>
        <item m="1" x="557"/>
        <item m="1" x="576"/>
        <item m="1" x="228"/>
        <item m="1" x="229"/>
        <item m="1" x="620"/>
        <item m="1" x="556"/>
        <item m="1" x="491"/>
        <item m="1" x="381"/>
        <item m="1" x="442"/>
        <item m="1" x="528"/>
        <item m="1" x="564"/>
        <item m="1" x="527"/>
        <item m="1" x="446"/>
        <item m="1" x="479"/>
        <item m="1" x="612"/>
        <item m="1" x="561"/>
        <item m="1" x="519"/>
        <item m="1" x="606"/>
        <item m="1" x="467"/>
        <item m="1" x="513"/>
        <item m="1" x="427"/>
        <item m="1" x="480"/>
        <item m="1" x="371"/>
        <item m="1" x="391"/>
        <item m="1" x="345"/>
        <item m="1" x="439"/>
        <item m="1" x="502"/>
        <item m="1" x="452"/>
        <item m="1" x="493"/>
        <item m="1" x="492"/>
        <item m="1" x="572"/>
        <item m="1" x="436"/>
        <item m="1" x="440"/>
        <item m="1" x="535"/>
        <item m="1" x="530"/>
        <item m="1" x="301"/>
        <item m="1" x="346"/>
        <item m="1" x="302"/>
        <item m="1" x="514"/>
        <item m="1" x="384"/>
        <item m="1" x="417"/>
        <item m="1" x="485"/>
        <item m="1" x="344"/>
        <item m="1" x="238"/>
        <item m="1" x="466"/>
        <item m="1" x="534"/>
        <item m="1" x="508"/>
        <item m="1" x="470"/>
        <item m="1" x="523"/>
        <item m="1" x="465"/>
        <item m="1" x="426"/>
        <item m="1" x="420"/>
        <item m="1" x="486"/>
        <item m="1" x="549"/>
        <item m="1" x="356"/>
        <item m="1" x="392"/>
        <item m="1" x="443"/>
        <item m="1" x="357"/>
        <item m="1" x="434"/>
        <item m="1" x="460"/>
        <item m="1" x="359"/>
        <item m="1" x="540"/>
        <item m="1" x="503"/>
        <item m="1" x="358"/>
        <item m="1" x="459"/>
        <item m="1" x="475"/>
        <item m="1" x="541"/>
        <item m="1" x="279"/>
        <item m="1" x="499"/>
        <item m="1" x="249"/>
        <item m="1" x="366"/>
        <item m="1" x="280"/>
        <item m="1" x="483"/>
        <item m="1" x="316"/>
        <item m="1" x="281"/>
        <item m="1" x="451"/>
        <item m="1" x="484"/>
        <item m="1" x="494"/>
        <item m="1" x="505"/>
        <item m="1" x="476"/>
        <item m="1" x="378"/>
        <item m="1" x="394"/>
        <item m="1" x="416"/>
        <item m="1" x="379"/>
        <item m="1" x="332"/>
        <item m="1" x="253"/>
        <item m="1" x="524"/>
        <item m="1" x="447"/>
        <item m="1" x="477"/>
        <item m="1" x="448"/>
        <item m="1" x="455"/>
        <item m="1" x="252"/>
        <item m="1" x="397"/>
        <item m="1" x="398"/>
        <item m="1" x="419"/>
        <item m="1" x="412"/>
        <item m="1" x="437"/>
        <item m="1" x="298"/>
        <item m="1" x="488"/>
        <item m="1" x="421"/>
        <item m="1" x="408"/>
        <item m="1" x="464"/>
        <item m="1" x="441"/>
        <item m="1" x="362"/>
        <item m="1" x="409"/>
        <item m="1" x="395"/>
        <item m="1" x="454"/>
        <item m="1" x="372"/>
        <item m="1" x="433"/>
        <item m="1" x="413"/>
        <item m="1" x="393"/>
        <item m="1" x="317"/>
        <item m="1" x="178"/>
        <item m="1" x="313"/>
        <item m="1" x="418"/>
        <item m="1" x="402"/>
        <item m="1" x="325"/>
        <item m="1" x="210"/>
        <item m="1" x="189"/>
        <item m="1" x="449"/>
        <item m="1" x="353"/>
        <item m="1" x="375"/>
        <item m="1" x="363"/>
        <item m="1" x="404"/>
        <item m="1" x="387"/>
        <item m="1" x="329"/>
        <item m="1" x="399"/>
        <item m="1" x="342"/>
        <item m="1" x="355"/>
        <item m="1" x="354"/>
        <item m="1" x="424"/>
        <item m="1" x="428"/>
        <item m="1" x="405"/>
        <item m="1" x="263"/>
        <item m="1" x="389"/>
        <item m="1" x="291"/>
        <item m="1" x="114"/>
        <item m="1" x="230"/>
        <item m="1" x="231"/>
        <item m="1" x="400"/>
        <item m="1" x="401"/>
        <item m="1" x="396"/>
        <item m="1" x="233"/>
        <item m="1" x="232"/>
        <item m="1" x="234"/>
        <item m="1" x="235"/>
        <item m="1" x="352"/>
        <item m="1" x="456"/>
        <item m="1" x="512"/>
        <item m="1" x="236"/>
        <item m="1" x="457"/>
        <item m="1" x="340"/>
        <item m="1" x="390"/>
        <item m="1" x="385"/>
        <item m="1" x="274"/>
        <item m="1" x="435"/>
        <item m="1" x="458"/>
        <item m="1" x="119"/>
        <item m="1" x="431"/>
        <item m="1" x="432"/>
        <item m="1" x="376"/>
        <item m="1" x="450"/>
        <item m="1" x="407"/>
        <item m="1" x="1411"/>
        <item m="1" x="323"/>
        <item m="1" x="216"/>
        <item m="1" x="289"/>
        <item m="1" x="282"/>
        <item m="1" x="283"/>
        <item m="1" x="285"/>
        <item m="1" x="250"/>
        <item m="1" x="341"/>
        <item m="1" x="284"/>
        <item m="1" x="262"/>
        <item m="1" x="266"/>
        <item m="1" x="374"/>
        <item m="1" x="360"/>
        <item m="1" x="380"/>
        <item m="1" x="370"/>
        <item m="1" x="308"/>
        <item m="1" x="167"/>
        <item m="1" x="388"/>
        <item m="1" x="414"/>
        <item m="1" x="463"/>
        <item m="1" x="377"/>
        <item m="1" x="321"/>
        <item m="1" x="383"/>
        <item m="1" x="303"/>
        <item m="1" x="386"/>
        <item m="1" x="294"/>
        <item m="1" x="278"/>
        <item m="1" x="290"/>
        <item m="1" x="343"/>
        <item m="1" x="270"/>
        <item m="1" x="207"/>
        <item m="1" x="349"/>
        <item m="1" x="368"/>
        <item m="1" x="369"/>
        <item m="1" x="361"/>
        <item m="1" x="286"/>
        <item m="1" x="309"/>
        <item m="1" x="338"/>
        <item m="1" x="324"/>
        <item m="1" x="271"/>
        <item m="1" x="330"/>
        <item m="1" x="339"/>
        <item m="1" x="254"/>
        <item m="1" x="248"/>
        <item m="1" x="156"/>
        <item m="1" x="334"/>
        <item m="1" x="335"/>
        <item m="1" x="337"/>
        <item m="1" x="276"/>
        <item m="1" x="155"/>
        <item m="1" x="269"/>
        <item m="1" x="211"/>
        <item m="1" x="336"/>
        <item m="1" x="196"/>
        <item m="1" x="299"/>
        <item m="1" x="251"/>
        <item m="1" x="312"/>
        <item m="1" x="292"/>
        <item m="1" x="222"/>
        <item m="1" x="140"/>
        <item m="1" x="322"/>
        <item m="1" x="319"/>
        <item m="1" x="223"/>
        <item m="1" x="243"/>
        <item m="1" x="300"/>
        <item m="1" x="214"/>
        <item m="1" x="326"/>
        <item m="1" x="304"/>
        <item x="48"/>
        <item x="49"/>
        <item m="1" x="287"/>
        <item m="1" x="256"/>
        <item m="1" x="86"/>
        <item m="1" x="296"/>
        <item m="1" x="295"/>
        <item m="1" x="268"/>
        <item m="1" x="261"/>
        <item m="1" x="241"/>
        <item m="1" x="264"/>
        <item m="1" x="226"/>
        <item m="1" x="1407"/>
        <item m="1" x="212"/>
        <item m="1" x="246"/>
        <item m="1" x="221"/>
        <item m="1" x="177"/>
        <item m="1" x="277"/>
        <item m="1" x="217"/>
        <item m="1" x="218"/>
        <item x="52"/>
        <item x="61"/>
        <item m="1" x="255"/>
        <item m="1" x="272"/>
        <item m="1" x="267"/>
        <item m="1" x="160"/>
        <item m="1" x="203"/>
        <item x="71"/>
        <item m="1" x="199"/>
        <item m="1" x="202"/>
        <item m="1" x="166"/>
        <item m="1" x="157"/>
        <item m="1" x="201"/>
        <item m="1" x="245"/>
        <item m="1" x="224"/>
        <item m="1" x="219"/>
        <item m="1" x="240"/>
        <item m="1" x="258"/>
        <item x="20"/>
        <item m="1" x="113"/>
        <item m="1" x="116"/>
        <item x="50"/>
        <item m="1" x="1406"/>
        <item m="1" x="179"/>
        <item x="19"/>
        <item m="1" x="293"/>
        <item m="1" x="185"/>
        <item m="1" x="205"/>
        <item m="1" x="259"/>
        <item m="1" x="192"/>
        <item m="1" x="191"/>
        <item m="1" x="194"/>
        <item m="1" x="204"/>
        <item m="1" x="200"/>
        <item m="1" x="182"/>
        <item m="1" x="89"/>
        <item m="1" x="90"/>
        <item m="1" x="161"/>
        <item m="1" x="133"/>
        <item m="1" x="122"/>
        <item m="1" x="247"/>
        <item m="1" x="158"/>
        <item m="1" x="159"/>
        <item m="1" x="242"/>
        <item m="1" x="187"/>
        <item m="1" x="176"/>
        <item m="1" x="190"/>
        <item m="1" x="104"/>
        <item m="1" x="225"/>
        <item m="1" x="227"/>
        <item m="1" x="1410"/>
        <item m="1" x="174"/>
        <item m="1" x="175"/>
        <item m="1" x="209"/>
        <item m="1" x="184"/>
        <item m="1" x="148"/>
        <item m="1" x="213"/>
        <item m="1" x="1409"/>
        <item m="1" x="193"/>
        <item m="1" x="215"/>
        <item m="1" x="1408"/>
        <item m="1" x="106"/>
        <item m="1" x="107"/>
        <item m="1" x="162"/>
        <item m="1" x="145"/>
        <item m="1" x="188"/>
        <item m="1" x="206"/>
        <item m="1" x="136"/>
        <item m="1" x="142"/>
        <item m="1" x="172"/>
        <item m="1" x="171"/>
        <item m="1" x="169"/>
        <item m="1" x="135"/>
        <item m="1" x="208"/>
        <item m="1" x="138"/>
        <item m="1" x="123"/>
        <item m="1" x="151"/>
        <item m="1" x="180"/>
        <item m="1" x="124"/>
        <item m="1" x="110"/>
        <item x="53"/>
        <item x="54"/>
        <item m="1" x="121"/>
        <item m="1" x="131"/>
        <item m="1" x="117"/>
        <item m="1" x="152"/>
        <item x="5"/>
        <item m="1" x="181"/>
        <item m="1" x="186"/>
        <item m="1" x="125"/>
        <item m="1" x="126"/>
        <item m="1" x="91"/>
        <item x="6"/>
        <item m="1" x="92"/>
        <item m="1" x="127"/>
        <item m="1" x="128"/>
        <item m="1" x="163"/>
        <item x="55"/>
        <item m="1" x="105"/>
        <item x="22"/>
        <item m="1" x="137"/>
        <item x="45"/>
        <item x="16"/>
        <item m="1" x="197"/>
        <item m="1" x="183"/>
        <item x="15"/>
        <item m="1" x="99"/>
        <item x="14"/>
        <item m="1" x="81"/>
        <item x="21"/>
        <item m="1" x="164"/>
        <item m="1" x="88"/>
        <item m="1" x="153"/>
        <item x="23"/>
        <item x="39"/>
        <item m="1" x="146"/>
        <item m="1" x="93"/>
        <item x="58"/>
        <item x="51"/>
        <item x="38"/>
        <item m="1" x="147"/>
        <item x="17"/>
        <item x="18"/>
        <item m="1" x="87"/>
        <item x="24"/>
        <item x="7"/>
        <item x="60"/>
        <item x="8"/>
        <item x="9"/>
        <item x="10"/>
        <item x="11"/>
        <item m="1" x="139"/>
        <item x="42"/>
        <item x="1"/>
        <item m="1" x="108"/>
        <item x="76"/>
        <item m="1" x="1364"/>
        <item m="1" x="1365"/>
        <item m="1" x="1347"/>
        <item m="1" x="1334"/>
        <item m="1" x="1404"/>
        <item m="1" x="1357"/>
        <item m="1" x="1266"/>
        <item m="1" x="1330"/>
        <item m="1" x="1049"/>
        <item m="1" x="1366"/>
        <item m="1" x="1328"/>
        <item m="1" x="1362"/>
        <item m="1" x="1351"/>
        <item m="1" x="1352"/>
        <item m="1" x="1353"/>
        <item m="1" x="1354"/>
        <item m="1" x="1355"/>
        <item m="1" x="1361"/>
        <item m="1" x="1368"/>
        <item m="1" x="1395"/>
        <item m="1" x="1401"/>
        <item m="1" x="1338"/>
        <item m="1" x="1339"/>
        <item m="1" x="1399"/>
        <item m="1" x="1346"/>
        <item m="1" x="1405"/>
        <item m="1" x="1396"/>
        <item m="1" x="1377"/>
        <item m="1" x="1255"/>
        <item m="1" x="1301"/>
        <item m="1" x="1397"/>
        <item m="1" x="1308"/>
        <item m="1" x="1292"/>
        <item m="1" x="943"/>
        <item m="1" x="1329"/>
        <item m="1" x="1168"/>
        <item m="1" x="1367"/>
        <item m="1" x="1335"/>
        <item m="1" x="1336"/>
        <item m="1" x="1054"/>
        <item m="1" x="1228"/>
        <item m="1" x="1197"/>
        <item m="1" x="1277"/>
        <item m="1" x="1238"/>
        <item m="1" x="1198"/>
        <item m="1" x="1204"/>
        <item m="1" x="1274"/>
        <item m="1" x="1384"/>
        <item m="1" x="1385"/>
        <item m="1" x="1386"/>
        <item m="1" x="1394"/>
        <item m="1" x="1375"/>
        <item m="1" x="1376"/>
        <item m="1" x="1383"/>
        <item m="1" x="1278"/>
        <item m="1" x="1275"/>
        <item m="1" x="1272"/>
        <item m="1" x="1267"/>
        <item m="1" x="1309"/>
        <item m="1" x="1043"/>
        <item m="1" x="1303"/>
        <item m="1" x="1402"/>
        <item m="1" x="1403"/>
        <item m="1" x="1390"/>
        <item m="1" x="1306"/>
        <item m="1" x="1307"/>
        <item m="1" x="1293"/>
        <item m="1" x="1369"/>
        <item m="1" x="1398"/>
        <item m="1" x="1372"/>
        <item m="1" x="1066"/>
        <item m="1" x="1059"/>
        <item m="1" x="1350"/>
        <item m="1" x="1219"/>
        <item m="1" x="1201"/>
        <item m="1" x="1358"/>
        <item m="1" x="1294"/>
        <item m="1" x="1279"/>
        <item m="1" x="1280"/>
        <item m="1" x="1154"/>
        <item m="1" x="1393"/>
        <item m="1" x="1379"/>
        <item m="1" x="1324"/>
        <item m="1" x="1380"/>
        <item m="1" x="1381"/>
        <item m="1" x="1388"/>
        <item m="1" x="1317"/>
        <item m="1" x="1318"/>
        <item m="1" x="1337"/>
        <item m="1" x="1090"/>
        <item m="1" x="1083"/>
        <item m="1" x="1290"/>
        <item m="1" x="1200"/>
        <item m="1" x="1067"/>
        <item m="1" x="1084"/>
        <item m="1" x="1391"/>
        <item m="1" x="1348"/>
        <item m="1" x="1310"/>
        <item m="1" x="1387"/>
        <item m="1" x="1370"/>
        <item m="1" x="1333"/>
        <item m="1" x="1342"/>
        <item m="1" x="1322"/>
        <item m="1" x="1251"/>
        <item m="1" x="1373"/>
        <item m="1" x="1037"/>
        <item m="1" x="1283"/>
        <item m="1" x="1284"/>
        <item m="1" x="1285"/>
        <item m="1" x="1286"/>
        <item m="1" x="1349"/>
        <item m="1" x="1392"/>
        <item m="1" x="1327"/>
        <item m="1" x="1250"/>
        <item m="1" x="1378"/>
        <item m="1" x="1119"/>
        <item m="1" x="1252"/>
        <item m="1" x="1343"/>
        <item m="1" x="1244"/>
        <item m="1" x="1319"/>
        <item m="1" x="1320"/>
        <item m="1" x="1360"/>
        <item m="1" x="1027"/>
        <item m="1" x="1112"/>
        <item m="1" x="659"/>
        <item m="1" x="425"/>
        <item m="1" x="367"/>
        <item m="1" x="1296"/>
        <item m="1" x="1305"/>
        <item m="1" x="1340"/>
        <item m="1" x="1341"/>
        <item m="1" x="1109"/>
        <item m="1" x="938"/>
        <item m="1" x="1297"/>
        <item m="1" x="1314"/>
        <item m="1" x="1044"/>
        <item m="1" x="1323"/>
        <item m="1" x="1205"/>
        <item m="1" x="1178"/>
        <item m="1" x="1374"/>
        <item m="1" x="1207"/>
        <item m="1" x="1045"/>
        <item m="1" x="1038"/>
        <item m="1" x="1270"/>
        <item m="1" x="1265"/>
        <item m="1" x="1191"/>
        <item m="1" x="1161"/>
        <item m="1" x="1311"/>
        <item m="1" x="1344"/>
        <item m="1" x="1234"/>
        <item m="1" x="1039"/>
        <item m="1" x="1062"/>
        <item m="1" x="1209"/>
        <item m="1" x="1331"/>
        <item m="1" x="1146"/>
        <item m="1" x="1086"/>
        <item m="1" x="1315"/>
        <item m="1" x="1332"/>
        <item m="1" x="1202"/>
        <item m="1" x="1313"/>
        <item m="1" x="1282"/>
        <item m="1" x="1046"/>
        <item m="1" x="1325"/>
        <item m="1" x="1287"/>
        <item m="1" x="1195"/>
        <item m="1" x="1239"/>
        <item m="1" x="1221"/>
        <item m="1" x="1188"/>
        <item m="1" x="1233"/>
        <item m="1" x="1302"/>
        <item m="1" x="1231"/>
        <item m="1" x="1127"/>
        <item m="1" x="1166"/>
        <item m="1" x="989"/>
        <item m="1" x="1217"/>
        <item m="1" x="1196"/>
        <item m="1" x="1227"/>
        <item m="1" x="1218"/>
        <item m="1" x="1236"/>
        <item m="1" x="1237"/>
        <item m="1" x="1235"/>
        <item m="1" x="655"/>
        <item m="1" x="1256"/>
        <item m="1" x="1194"/>
        <item m="1" x="1177"/>
        <item m="1" x="1139"/>
        <item m="1" x="1050"/>
        <item m="1" x="1241"/>
        <item m="1" x="1281"/>
        <item m="1" x="1169"/>
        <item m="1" x="1258"/>
        <item m="1" x="1295"/>
        <item m="1" x="1181"/>
        <item m="1" x="1246"/>
        <item m="1" x="1208"/>
        <item m="1" x="1215"/>
        <item m="1" x="1100"/>
        <item m="1" x="1226"/>
        <item m="1" x="1288"/>
        <item m="1" x="997"/>
        <item m="1" x="1075"/>
        <item m="1" x="1142"/>
        <item m="1" x="1171"/>
        <item m="1" x="1157"/>
        <item m="1" x="1174"/>
        <item m="1" x="1102"/>
        <item m="1" x="1175"/>
        <item m="1" x="1015"/>
        <item m="1" x="956"/>
        <item m="1" x="958"/>
        <item m="1" x="1017"/>
        <item m="1" x="883"/>
        <item m="1" x="1269"/>
        <item m="1" x="1232"/>
        <item m="1" x="597"/>
        <item m="1" x="1162"/>
        <item m="1" x="1242"/>
        <item m="1" x="1243"/>
        <item m="1" x="1061"/>
        <item m="1" x="1182"/>
        <item m="1" x="1183"/>
        <item m="1" x="1131"/>
        <item m="1" x="1114"/>
        <item m="1" x="1158"/>
        <item m="1" x="1159"/>
        <item m="1" x="1187"/>
        <item m="1" x="1210"/>
        <item m="1" x="992"/>
        <item m="1" x="1126"/>
        <item m="1" x="900"/>
        <item m="1" x="1001"/>
        <item m="1" x="628"/>
        <item m="1" x="1019"/>
        <item m="1" x="1021"/>
        <item m="1" x="111"/>
        <item m="1" x="875"/>
        <item m="1" x="917"/>
        <item m="1" x="1025"/>
        <item m="1" x="1026"/>
        <item m="1" x="1028"/>
        <item m="1" x="1029"/>
        <item m="1" x="1030"/>
        <item m="1" x="1031"/>
        <item m="1" x="1033"/>
        <item m="1" x="1034"/>
        <item m="1" x="1035"/>
        <item m="1" x="1036"/>
        <item m="1" x="1040"/>
        <item m="1" x="1041"/>
        <item m="1" x="588"/>
        <item m="1" x="1042"/>
        <item m="1" x="1047"/>
        <item m="1" x="1048"/>
        <item m="1" x="1051"/>
        <item m="1" x="1052"/>
        <item m="1" x="1053"/>
        <item x="29"/>
        <item m="1" x="1055"/>
        <item m="1" x="1056"/>
        <item m="1" x="1057"/>
        <item m="1" x="1058"/>
        <item m="1" x="874"/>
        <item m="1" x="788"/>
        <item m="1" x="858"/>
        <item m="1" x="774"/>
        <item m="1" x="776"/>
        <item m="1" x="904"/>
        <item m="1" x="862"/>
        <item m="1" x="239"/>
        <item m="1" x="703"/>
        <item m="1" x="805"/>
        <item m="1" x="834"/>
        <item m="1" x="893"/>
        <item m="1" x="950"/>
        <item m="1" x="934"/>
        <item m="1" x="741"/>
        <item m="1" x="758"/>
        <item m="1" x="705"/>
        <item m="1" x="872"/>
        <item m="1" x="782"/>
        <item m="1" x="894"/>
        <item m="1" x="785"/>
        <item m="1" x="820"/>
        <item m="1" x="727"/>
        <item m="1" x="729"/>
        <item m="1" x="660"/>
        <item m="1" x="800"/>
        <item m="1" x="710"/>
        <item m="1" x="734"/>
        <item m="1" x="794"/>
        <item m="1" x="756"/>
        <item m="1" x="661"/>
        <item m="1" x="662"/>
        <item m="1" x="567"/>
        <item m="1" x="382"/>
        <item m="1" x="497"/>
        <item m="1" x="320"/>
        <item m="1" x="315"/>
        <item m="1" x="311"/>
        <item m="1" x="406"/>
        <item m="1" x="328"/>
        <item m="1" x="348"/>
        <item m="1" x="314"/>
        <item m="1" x="318"/>
        <item m="1" x="327"/>
        <item m="1" x="257"/>
        <item m="1" x="273"/>
        <item m="1" x="244"/>
        <item m="1" x="170"/>
        <item m="1" x="149"/>
        <item m="1" x="150"/>
        <item m="1" x="173"/>
        <item m="1" x="134"/>
        <item x="43"/>
        <item m="1" x="80"/>
        <item x="73"/>
        <item m="1" x="165"/>
        <item m="1" x="109"/>
        <item m="1" x="94"/>
        <item m="1" x="95"/>
        <item m="1" x="168"/>
        <item m="1" x="141"/>
        <item m="1" x="129"/>
        <item m="1" x="130"/>
        <item m="1" x="143"/>
        <item m="1" x="144"/>
        <item m="1" x="132"/>
        <item m="1" x="118"/>
        <item m="1" x="112"/>
        <item m="1" x="96"/>
        <item m="1" x="102"/>
        <item m="1" x="115"/>
        <item x="34"/>
        <item m="1" x="120"/>
        <item m="1" x="101"/>
        <item m="1" x="103"/>
        <item m="1" x="98"/>
        <item m="1" x="97"/>
        <item x="0"/>
        <item m="1" x="100"/>
        <item m="1" x="85"/>
        <item x="74"/>
        <item x="75"/>
        <item x="44"/>
        <item x="2"/>
        <item x="35"/>
        <item m="1" x="84"/>
        <item x="41"/>
        <item m="1" x="82"/>
        <item m="1" x="83"/>
        <item x="36"/>
        <item x="37"/>
        <item x="12"/>
        <item x="13"/>
        <item x="40"/>
        <item x="46"/>
        <item x="65"/>
        <item x="66"/>
        <item x="67"/>
        <item x="69"/>
        <item x="70"/>
        <item x="77"/>
        <item x="78"/>
        <item x="25"/>
        <item x="26"/>
        <item x="27"/>
        <item x="28"/>
        <item x="30"/>
        <item x="31"/>
        <item x="32"/>
        <item x="33"/>
        <item x="47"/>
        <item x="56"/>
        <item x="57"/>
        <item x="59"/>
        <item x="62"/>
        <item x="63"/>
        <item x="64"/>
        <item x="68"/>
        <item x="72"/>
        <item t="default"/>
      </items>
    </pivotField>
    <pivotField showAll="0"/>
    <pivotField showAll="0"/>
    <pivotField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0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6"/>
    <field x="42"/>
  </rowFields>
  <rowItems count="30">
    <i>
      <x/>
    </i>
    <i>
      <x v="1"/>
    </i>
    <i>
      <x v="3"/>
    </i>
    <i>
      <x v="7"/>
    </i>
    <i>
      <x v="9"/>
    </i>
    <i>
      <x v="12"/>
    </i>
    <i>
      <x v="13"/>
    </i>
    <i>
      <x v="14"/>
    </i>
    <i>
      <x v="15"/>
    </i>
    <i>
      <x v="16"/>
    </i>
    <i>
      <x v="20"/>
    </i>
    <i>
      <x v="27"/>
    </i>
    <i>
      <x v="32"/>
    </i>
    <i>
      <x v="33"/>
    </i>
    <i>
      <x v="34"/>
    </i>
    <i>
      <x v="36"/>
    </i>
    <i>
      <x v="37"/>
    </i>
    <i>
      <x v="39"/>
    </i>
    <i>
      <x v="40"/>
    </i>
    <i>
      <x v="44"/>
    </i>
    <i>
      <x v="45"/>
    </i>
    <i>
      <x v="55"/>
    </i>
    <i>
      <x v="94"/>
    </i>
    <i>
      <x v="108"/>
    </i>
    <i>
      <x v="117"/>
    </i>
    <i>
      <x v="124"/>
    </i>
    <i>
      <x v="125"/>
    </i>
    <i>
      <x v="161"/>
    </i>
    <i>
      <x v="17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la pivot2" cacheId="91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colHeaderCaption="_">
  <location ref="A3:C32" firstHeaderRow="1" firstDataRow="2" firstDataCol="1" rowPageCount="1" colPageCount="1"/>
  <pivotFields count="39">
    <pivotField subtotalTop="0" showAll="0">
      <items count="3">
        <item sd="0" x="0"/>
        <item h="1" sd="0" x="1"/>
        <item t="default" sd="0"/>
      </items>
    </pivotField>
    <pivotField subtotalTop="0" showAll="0">
      <items count="9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h="1" sd="0" x="95"/>
        <item t="default" sd="0"/>
      </items>
    </pivotField>
    <pivotField subtotalTop="0" showAll="0">
      <items count="81">
        <item sd="0" x="3"/>
        <item sd="0" x="4"/>
        <item sd="0" x="61"/>
        <item sd="0" x="73"/>
        <item sd="0" x="43"/>
        <item sd="0" x="34"/>
        <item sd="0" x="0"/>
        <item sd="0" x="74"/>
        <item sd="0" x="75"/>
        <item sd="0" x="44"/>
        <item sd="0" x="2"/>
        <item sd="0" x="35"/>
        <item sd="0" x="41"/>
        <item sd="0" x="36"/>
        <item sd="0" x="37"/>
        <item sd="0" x="59"/>
        <item sd="0" x="64"/>
        <item sd="0" x="48"/>
        <item sd="0" x="49"/>
        <item sd="0" x="52"/>
        <item sd="0" x="71"/>
        <item sd="0" x="19"/>
        <item sd="0" x="20"/>
        <item sd="0" x="50"/>
        <item sd="0" x="53"/>
        <item sd="0" x="54"/>
        <item sd="0" x="5"/>
        <item sd="0" x="6"/>
        <item sd="0" x="14"/>
        <item sd="0" x="15"/>
        <item sd="0" x="16"/>
        <item sd="0" x="45"/>
        <item sd="0" x="55"/>
        <item sd="0" x="21"/>
        <item sd="0" x="22"/>
        <item sd="0" x="23"/>
        <item sd="0" x="39"/>
        <item sd="0" x="58"/>
        <item sd="0" x="51"/>
        <item sd="0" x="38"/>
        <item sd="0" x="17"/>
        <item sd="0" x="18"/>
        <item sd="0" x="60"/>
        <item sd="0" x="24"/>
        <item sd="0" x="7"/>
        <item sd="0" x="8"/>
        <item sd="0" x="9"/>
        <item sd="0" x="10"/>
        <item sd="0" x="11"/>
        <item sd="0" x="42"/>
        <item sd="0" x="1"/>
        <item sd="0" x="76"/>
        <item sd="0" x="65"/>
        <item sd="0" x="66"/>
        <item sd="0" x="40"/>
        <item sd="0" x="77"/>
        <item sd="0" x="69"/>
        <item sd="0" x="70"/>
        <item sd="0" x="78"/>
        <item sd="0" x="46"/>
        <item sd="0" x="67"/>
        <item sd="0" x="12"/>
        <item sd="0" x="13"/>
        <item sd="0" x="72"/>
        <item sd="0" x="56"/>
        <item sd="0" x="25"/>
        <item sd="0" x="26"/>
        <item sd="0" x="27"/>
        <item sd="0" x="28"/>
        <item sd="0" x="29"/>
        <item sd="0" x="30"/>
        <item sd="0" x="47"/>
        <item sd="0" x="68"/>
        <item sd="0" x="31"/>
        <item sd="0" x="57"/>
        <item sd="0" x="62"/>
        <item sd="0" x="32"/>
        <item sd="0" x="33"/>
        <item sd="0" x="63"/>
        <item h="1" sd="0" x="79"/>
        <item t="default" sd="0"/>
      </items>
    </pivotField>
    <pivotField subtotalTop="0" showAll="0">
      <items count="4">
        <item sd="0" x="1"/>
        <item sd="0" x="0"/>
        <item h="1" sd="0" x="2"/>
        <item t="default" sd="0"/>
      </items>
    </pivotField>
    <pivotField subtotalTop="0" showAll="0">
      <items count="25">
        <item sd="0" x="3"/>
        <item sd="0" x="4"/>
        <item sd="0" x="15"/>
        <item sd="0" x="21"/>
        <item sd="0" x="17"/>
        <item sd="0" x="22"/>
        <item sd="0" x="7"/>
        <item sd="0" x="16"/>
        <item sd="0" x="14"/>
        <item sd="0" x="18"/>
        <item sd="0" x="5"/>
        <item sd="0" x="11"/>
        <item sd="0" x="19"/>
        <item sd="0" x="0"/>
        <item sd="0" x="8"/>
        <item sd="0" x="12"/>
        <item sd="0" x="6"/>
        <item sd="0" x="9"/>
        <item sd="0" x="2"/>
        <item sd="0" x="13"/>
        <item sd="0" x="1"/>
        <item sd="0" x="20"/>
        <item sd="0" x="10"/>
        <item h="1" sd="0" x="23"/>
        <item t="default" sd="0"/>
      </items>
    </pivotField>
    <pivotField subtotalTop="0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h="1" sd="0" x="29"/>
        <item t="default" sd="0"/>
      </items>
    </pivotField>
    <pivotField axis="axisRow" subtotalTop="0" showAll="0">
      <items count="172">
        <item sd="0" x="20"/>
        <item sd="0" x="1"/>
        <item sd="0" m="1" x="70"/>
        <item sd="0" x="7"/>
        <item sd="0" m="1" x="52"/>
        <item sd="0" m="1" x="58"/>
        <item sd="0" m="1" x="37"/>
        <item sd="0" x="12"/>
        <item sd="0" m="1" x="76"/>
        <item sd="0" x="23"/>
        <item sd="0" m="1" x="83"/>
        <item sd="0" m="1" x="123"/>
        <item sd="0" x="4"/>
        <item sd="0" x="9"/>
        <item sd="0" x="8"/>
        <item sd="0" x="14"/>
        <item sd="0" x="18"/>
        <item sd="0" m="1" x="67"/>
        <item sd="0" m="1" x="110"/>
        <item sd="0" m="1" x="95"/>
        <item sd="0" x="6"/>
        <item sd="0" m="1" x="57"/>
        <item sd="0" m="1" x="62"/>
        <item sd="0" m="1" x="136"/>
        <item sd="0" m="1" x="43"/>
        <item sd="0" m="1" x="50"/>
        <item sd="0" m="1" x="92"/>
        <item sd="0" x="22"/>
        <item sd="0" m="1" x="106"/>
        <item sd="0" m="1" x="85"/>
        <item sd="0" m="1" x="35"/>
        <item sd="0" m="1" x="166"/>
        <item sd="0" x="16"/>
        <item sd="0" x="13"/>
        <item sd="0" x="15"/>
        <item sd="0" m="1" x="49"/>
        <item sd="0" x="5"/>
        <item sd="0" x="2"/>
        <item sd="0" m="1" x="48"/>
        <item sd="0" x="10"/>
        <item sd="0" x="24"/>
        <item sd="0" m="1" x="34"/>
        <item h="1" sd="0" x="29"/>
        <item sd="0" m="1" x="66"/>
        <item sd="0" x="0"/>
        <item sd="0" x="3"/>
        <item sd="0" m="1" x="60"/>
        <item sd="0" m="1" x="64"/>
        <item sd="0" m="1" x="117"/>
        <item sd="0" m="1" x="169"/>
        <item sd="0" m="1" x="168"/>
        <item sd="0" m="1" x="103"/>
        <item sd="0" m="1" x="111"/>
        <item sd="0" m="1" x="170"/>
        <item sd="0" m="1" x="167"/>
        <item sd="0" x="19"/>
        <item sd="0" m="1" x="164"/>
        <item sd="0" m="1" x="42"/>
        <item sd="0" m="1" x="165"/>
        <item sd="0" m="1" x="86"/>
        <item sd="0" m="1" x="105"/>
        <item sd="0" m="1" x="69"/>
        <item sd="0" m="1" x="80"/>
        <item sd="0" m="1" x="138"/>
        <item sd="0" m="1" x="145"/>
        <item sd="0" m="1" x="77"/>
        <item sd="0" m="1" x="46"/>
        <item sd="0" m="1" x="79"/>
        <item sd="0" m="1" x="100"/>
        <item sd="0" m="1" x="127"/>
        <item sd="0" m="1" x="78"/>
        <item sd="0" m="1" x="160"/>
        <item sd="0" m="1" x="163"/>
        <item sd="0" m="1" x="39"/>
        <item sd="0" m="1" x="112"/>
        <item sd="0" m="1" x="139"/>
        <item sd="0" m="1" x="162"/>
        <item sd="0" m="1" x="101"/>
        <item sd="0" m="1" x="134"/>
        <item sd="0" m="1" x="142"/>
        <item sd="0" m="1" x="109"/>
        <item sd="0" m="1" x="159"/>
        <item sd="0" m="1" x="161"/>
        <item sd="0" m="1" x="65"/>
        <item sd="0" m="1" x="81"/>
        <item sd="0" m="1" x="158"/>
        <item sd="0" m="1" x="91"/>
        <item sd="0" m="1" x="157"/>
        <item sd="0" m="1" x="156"/>
        <item sd="0" m="1" x="155"/>
        <item sd="0" m="1" x="124"/>
        <item sd="0" m="1" x="107"/>
        <item sd="0" m="1" x="96"/>
        <item sd="0" m="1" x="72"/>
        <item sd="0" x="11"/>
        <item sd="0" m="1" x="33"/>
        <item sd="0" m="1" x="153"/>
        <item sd="0" m="1" x="154"/>
        <item sd="0" m="1" x="88"/>
        <item sd="0" m="1" x="152"/>
        <item sd="0" m="1" x="146"/>
        <item sd="0" m="1" x="151"/>
        <item sd="0" m="1" x="118"/>
        <item sd="0" m="1" x="150"/>
        <item sd="0" m="1" x="149"/>
        <item sd="0" m="1" x="32"/>
        <item sd="0" m="1" x="68"/>
        <item sd="0" m="1" x="148"/>
        <item sd="0" x="25"/>
        <item sd="0" m="1" x="93"/>
        <item sd="0" m="1" x="147"/>
        <item sd="0" m="1" x="63"/>
        <item sd="0" m="1" x="55"/>
        <item sd="0" m="1" x="40"/>
        <item sd="0" m="1" x="143"/>
        <item sd="0" m="1" x="74"/>
        <item sd="0" m="1" x="61"/>
        <item sd="0" x="21"/>
        <item sd="0" m="1" x="144"/>
        <item sd="0" m="1" x="140"/>
        <item sd="0" m="1" x="141"/>
        <item sd="0" m="1" x="137"/>
        <item sd="0" m="1" x="130"/>
        <item sd="0" m="1" x="135"/>
        <item sd="0" x="17"/>
        <item sd="0" x="28"/>
        <item sd="0" m="1" x="30"/>
        <item sd="0" m="1" x="71"/>
        <item sd="0" m="1" x="133"/>
        <item sd="0" m="1" x="132"/>
        <item sd="0" m="1" x="36"/>
        <item sd="0" m="1" x="51"/>
        <item sd="0" m="1" x="131"/>
        <item sd="0" m="1" x="128"/>
        <item sd="0" m="1" x="38"/>
        <item sd="0" m="1" x="129"/>
        <item sd="0" m="1" x="119"/>
        <item sd="0" m="1" x="97"/>
        <item sd="0" m="1" x="98"/>
        <item sd="0" m="1" x="120"/>
        <item sd="0" m="1" x="121"/>
        <item sd="0" m="1" x="122"/>
        <item sd="0" m="1" x="125"/>
        <item sd="0" m="1" x="126"/>
        <item sd="0" m="1" x="114"/>
        <item sd="0" m="1" x="115"/>
        <item sd="0" m="1" x="44"/>
        <item sd="0" m="1" x="113"/>
        <item sd="0" m="1" x="54"/>
        <item sd="0" m="1" x="116"/>
        <item sd="0" m="1" x="87"/>
        <item sd="0" m="1" x="59"/>
        <item sd="0" m="1" x="108"/>
        <item sd="0" m="1" x="102"/>
        <item sd="0" m="1" x="104"/>
        <item sd="0" m="1" x="47"/>
        <item sd="0" m="1" x="99"/>
        <item sd="0" m="1" x="90"/>
        <item sd="0" m="1" x="73"/>
        <item sd="0" m="1" x="53"/>
        <item sd="0" m="1" x="94"/>
        <item sd="0" x="26"/>
        <item sd="0" m="1" x="89"/>
        <item sd="0" m="1" x="84"/>
        <item sd="0" m="1" x="31"/>
        <item sd="0" m="1" x="82"/>
        <item sd="0" m="1" x="75"/>
        <item sd="0" m="1" x="56"/>
        <item sd="0" m="1" x="41"/>
        <item sd="0" m="1" x="45"/>
        <item sd="0" x="27"/>
        <item t="default" sd="0"/>
      </items>
    </pivotField>
    <pivotField subtotalTop="0" showAll="0">
      <items count="69">
        <item sd="0" x="31"/>
        <item sd="0" x="56"/>
        <item sd="0" x="19"/>
        <item sd="0" x="18"/>
        <item sd="0" x="58"/>
        <item sd="0" x="45"/>
        <item sd="0" x="63"/>
        <item sd="0" x="8"/>
        <item sd="0" x="7"/>
        <item sd="0" x="26"/>
        <item sd="0" x="1"/>
        <item sd="0" x="27"/>
        <item sd="0" x="16"/>
        <item sd="0" x="66"/>
        <item sd="0" x="24"/>
        <item sd="0" x="13"/>
        <item sd="0" x="12"/>
        <item sd="0" x="25"/>
        <item sd="0" x="10"/>
        <item sd="0" x="9"/>
        <item sd="0" x="20"/>
        <item sd="0" x="4"/>
        <item sd="0" x="11"/>
        <item sd="0" x="6"/>
        <item sd="0" x="5"/>
        <item sd="0" x="3"/>
        <item sd="0" x="29"/>
        <item sd="0" x="22"/>
        <item sd="0" x="60"/>
        <item sd="0" x="57"/>
        <item sd="0" x="40"/>
        <item sd="0" x="41"/>
        <item sd="0" x="0"/>
        <item sd="0" x="42"/>
        <item sd="0" x="43"/>
        <item sd="0" x="32"/>
        <item sd="0" x="48"/>
        <item sd="0" x="33"/>
        <item sd="0" x="34"/>
        <item sd="0" x="35"/>
        <item sd="0" x="36"/>
        <item sd="0" x="2"/>
        <item sd="0" x="62"/>
        <item sd="0" x="61"/>
        <item sd="0" x="21"/>
        <item sd="0" x="44"/>
        <item sd="0" x="14"/>
        <item sd="0" x="30"/>
        <item sd="0" x="37"/>
        <item sd="0" x="15"/>
        <item sd="0" x="46"/>
        <item sd="0" x="23"/>
        <item sd="0" x="50"/>
        <item sd="0" x="49"/>
        <item sd="0" x="65"/>
        <item sd="0" x="28"/>
        <item sd="0" x="38"/>
        <item sd="0" x="39"/>
        <item sd="0" x="64"/>
        <item sd="0" x="59"/>
        <item sd="0" x="17"/>
        <item sd="0" x="52"/>
        <item sd="0" x="53"/>
        <item sd="0" x="54"/>
        <item sd="0" x="55"/>
        <item sd="0" x="47"/>
        <item sd="0" x="51"/>
        <item h="1" sd="0" x="67"/>
        <item t="default" sd="0"/>
      </items>
    </pivotField>
    <pivotField subtotalTop="0" showAll="0">
      <items count="74">
        <item sd="0" x="32"/>
        <item sd="0" x="29"/>
        <item sd="0" x="33"/>
        <item sd="0" x="34"/>
        <item sd="0" x="46"/>
        <item sd="0" x="70"/>
        <item sd="0" x="71"/>
        <item sd="0" x="47"/>
        <item sd="0" x="17"/>
        <item sd="0" x="14"/>
        <item sd="0" x="15"/>
        <item sd="0" x="51"/>
        <item sd="0" x="52"/>
        <item sd="0" x="16"/>
        <item sd="0" x="18"/>
        <item sd="0" x="68"/>
        <item sd="0" x="67"/>
        <item sd="0" x="0"/>
        <item sd="0" x="48"/>
        <item sd="0" x="55"/>
        <item sd="0" x="56"/>
        <item sd="0" x="53"/>
        <item sd="0" x="54"/>
        <item sd="0" x="69"/>
        <item sd="0" x="61"/>
        <item sd="0" x="65"/>
        <item sd="0" x="64"/>
        <item sd="0" x="60"/>
        <item sd="0" x="4"/>
        <item sd="0" x="11"/>
        <item sd="0" x="13"/>
        <item sd="0" x="12"/>
        <item sd="0" x="6"/>
        <item sd="0" x="5"/>
        <item sd="0" x="10"/>
        <item sd="0" x="9"/>
        <item sd="0" x="8"/>
        <item sd="0" x="7"/>
        <item sd="0" x="45"/>
        <item sd="0" x="58"/>
        <item sd="0" x="2"/>
        <item sd="0" x="1"/>
        <item sd="0" x="57"/>
        <item sd="0" x="59"/>
        <item sd="0" x="35"/>
        <item sd="0" x="38"/>
        <item sd="0" x="63"/>
        <item sd="0" x="62"/>
        <item sd="0" x="36"/>
        <item sd="0" x="31"/>
        <item sd="0" x="50"/>
        <item sd="0" x="19"/>
        <item sd="0" x="24"/>
        <item sd="0" x="25"/>
        <item sd="0" x="20"/>
        <item sd="0" x="26"/>
        <item sd="0" x="27"/>
        <item sd="0" x="23"/>
        <item sd="0" x="21"/>
        <item sd="0" x="22"/>
        <item sd="0" x="3"/>
        <item sd="0" x="41"/>
        <item sd="0" x="42"/>
        <item sd="0" x="43"/>
        <item sd="0" x="44"/>
        <item sd="0" x="39"/>
        <item sd="0" x="40"/>
        <item sd="0" x="30"/>
        <item sd="0" x="37"/>
        <item sd="0" x="49"/>
        <item sd="0" x="66"/>
        <item sd="0" x="28"/>
        <item h="1" sd="0" x="72"/>
        <item t="default" sd="0"/>
      </items>
    </pivotField>
    <pivotField subtotalTop="0" showAll="0">
      <items count="63">
        <item sd="0" x="44"/>
        <item sd="0" x="26"/>
        <item sd="0" x="28"/>
        <item sd="0" x="37"/>
        <item sd="0" x="48"/>
        <item sd="0" x="15"/>
        <item sd="0" x="21"/>
        <item sd="0" x="6"/>
        <item sd="0" x="4"/>
        <item sd="0" x="5"/>
        <item sd="0" x="20"/>
        <item sd="0" x="1"/>
        <item sd="0" x="7"/>
        <item sd="0" x="8"/>
        <item sd="0" x="11"/>
        <item sd="0" x="59"/>
        <item sd="0" x="22"/>
        <item sd="0" x="19"/>
        <item sd="0" x="47"/>
        <item sd="0" x="43"/>
        <item sd="0" x="3"/>
        <item sd="0" x="0"/>
        <item sd="0" x="35"/>
        <item sd="0" x="34"/>
        <item sd="0" x="24"/>
        <item sd="0" x="40"/>
        <item sd="0" x="27"/>
        <item sd="0" x="31"/>
        <item sd="0" x="50"/>
        <item sd="0" x="51"/>
        <item sd="0" x="17"/>
        <item sd="0" x="2"/>
        <item sd="0" x="32"/>
        <item sd="0" x="42"/>
        <item sd="0" x="30"/>
        <item sd="0" x="29"/>
        <item sd="0" x="53"/>
        <item sd="0" x="52"/>
        <item sd="0" x="57"/>
        <item sd="0" x="38"/>
        <item sd="0" x="60"/>
        <item sd="0" x="25"/>
        <item sd="0" x="9"/>
        <item sd="0" x="16"/>
        <item sd="0" x="56"/>
        <item sd="0" x="10"/>
        <item sd="0" x="18"/>
        <item sd="0" x="12"/>
        <item sd="0" x="23"/>
        <item sd="0" x="33"/>
        <item sd="0" x="58"/>
        <item sd="0" x="36"/>
        <item sd="0" x="41"/>
        <item sd="0" x="13"/>
        <item sd="0" x="46"/>
        <item sd="0" x="45"/>
        <item sd="0" x="39"/>
        <item sd="0" x="55"/>
        <item sd="0" x="54"/>
        <item sd="0" x="49"/>
        <item sd="0" x="14"/>
        <item h="1" sd="0" x="61"/>
        <item t="default" sd="0"/>
      </items>
    </pivotField>
    <pivotField subtotalTop="0" showAll="0">
      <items count="40">
        <item sd="0" x="4"/>
        <item sd="0" x="23"/>
        <item sd="0" x="19"/>
        <item sd="0" x="15"/>
        <item sd="0" x="25"/>
        <item sd="0" x="24"/>
        <item sd="0" x="17"/>
        <item sd="0" x="16"/>
        <item sd="0" x="36"/>
        <item sd="0" x="27"/>
        <item sd="0" x="32"/>
        <item sd="0" x="20"/>
        <item sd="0" x="34"/>
        <item sd="0" x="6"/>
        <item sd="0" x="3"/>
        <item sd="0" x="21"/>
        <item sd="0" x="22"/>
        <item sd="0" x="2"/>
        <item sd="0" x="31"/>
        <item sd="0" x="37"/>
        <item sd="0" x="5"/>
        <item sd="0" x="30"/>
        <item sd="0" x="10"/>
        <item sd="0" x="12"/>
        <item sd="0" x="28"/>
        <item sd="0" x="13"/>
        <item sd="0" x="11"/>
        <item sd="0" x="14"/>
        <item sd="0" x="33"/>
        <item sd="0" x="1"/>
        <item sd="0" x="9"/>
        <item sd="0" x="35"/>
        <item sd="0" x="29"/>
        <item sd="0" x="26"/>
        <item sd="0" x="0"/>
        <item sd="0" x="7"/>
        <item sd="0" x="18"/>
        <item sd="0" x="8"/>
        <item h="1" sd="0" x="38"/>
        <item t="default" sd="0"/>
      </items>
    </pivotField>
    <pivotField subtotalTop="0" showAll="0">
      <items count="3">
        <item sd="0" x="1"/>
        <item h="1" sd="0" x="0"/>
        <item t="default" sd="0"/>
      </items>
    </pivotField>
    <pivotField dataField="1" subtotalTop="0" showAll="0">
      <items count="41">
        <item sd="0" x="4"/>
        <item sd="0" x="24"/>
        <item sd="0" x="20"/>
        <item sd="0" x="16"/>
        <item sd="0" x="26"/>
        <item sd="0" x="25"/>
        <item sd="0" x="18"/>
        <item sd="0" x="17"/>
        <item sd="0" x="37"/>
        <item sd="0" x="28"/>
        <item sd="0" x="33"/>
        <item sd="0" x="5"/>
        <item sd="0" x="21"/>
        <item sd="0" x="35"/>
        <item sd="0" x="7"/>
        <item sd="0" x="3"/>
        <item sd="0" x="22"/>
        <item sd="0" x="23"/>
        <item sd="0" x="2"/>
        <item sd="0" x="32"/>
        <item sd="0" x="38"/>
        <item sd="0" x="6"/>
        <item sd="0" x="31"/>
        <item sd="0" x="11"/>
        <item sd="0" x="13"/>
        <item sd="0" x="29"/>
        <item sd="0" x="14"/>
        <item sd="0" x="12"/>
        <item sd="0" x="15"/>
        <item sd="0" x="34"/>
        <item sd="0" x="1"/>
        <item sd="0" x="10"/>
        <item sd="0" x="36"/>
        <item sd="0" x="30"/>
        <item sd="0" x="27"/>
        <item sd="0" x="0"/>
        <item sd="0" x="8"/>
        <item sd="0" x="19"/>
        <item sd="0" x="9"/>
        <item h="1" sd="0" x="39"/>
        <item t="default" sd="0"/>
      </items>
    </pivotField>
    <pivotField subtotalTop="0" showAll="0">
      <items count="6">
        <item sd="0" x="4"/>
        <item sd="0" x="3"/>
        <item sd="0" x="1"/>
        <item sd="0" x="2"/>
        <item h="1" sd="0" x="0"/>
        <item t="default" sd="0"/>
      </items>
    </pivotField>
    <pivotField subtotalTop="0" showAll="0">
      <items count="38">
        <item sd="0" x="17"/>
        <item sd="0" x="3"/>
        <item sd="0" x="34"/>
        <item sd="0" x="4"/>
        <item sd="0" x="15"/>
        <item sd="0" x="14"/>
        <item sd="0" x="0"/>
        <item sd="0" x="22"/>
        <item sd="0" x="21"/>
        <item sd="0" x="16"/>
        <item sd="0" x="1"/>
        <item sd="0" x="25"/>
        <item sd="0" x="5"/>
        <item sd="0" x="29"/>
        <item sd="0" x="8"/>
        <item sd="0" x="6"/>
        <item sd="0" x="28"/>
        <item sd="0" x="33"/>
        <item sd="0" x="35"/>
        <item sd="0" x="7"/>
        <item sd="0" x="32"/>
        <item sd="0" x="36"/>
        <item sd="0" x="9"/>
        <item sd="0" x="10"/>
        <item sd="0" x="23"/>
        <item sd="0" x="26"/>
        <item sd="0" x="30"/>
        <item sd="0" x="18"/>
        <item sd="0" x="31"/>
        <item sd="0" x="19"/>
        <item sd="0" x="11"/>
        <item sd="0" x="24"/>
        <item sd="0" x="12"/>
        <item sd="0" x="13"/>
        <item sd="0" x="20"/>
        <item sd="0" x="27"/>
        <item h="1" sd="0" x="2"/>
        <item t="default" sd="0"/>
      </items>
    </pivotField>
    <pivotField axis="axisPage" subtotalTop="0" multipleItemSelectionAllowed="1" showAll="0">
      <items count="15">
        <item h="1" sd="0" x="6"/>
        <item sd="0" m="1" x="12"/>
        <item sd="0" m="1" x="13"/>
        <item sd="0" m="1" x="10"/>
        <item sd="0" m="1" x="11"/>
        <item sd="0" x="0"/>
        <item sd="0" x="2"/>
        <item sd="0" x="1"/>
        <item sd="0" x="5"/>
        <item sd="0" x="8"/>
        <item sd="0" x="3"/>
        <item sd="0" x="4"/>
        <item sd="0" x="7"/>
        <item sd="0" x="9"/>
        <item t="default" sd="0"/>
      </items>
    </pivotField>
    <pivotField axis="axisCol" subtotalTop="0" showAll="0">
      <items count="8">
        <item x="2"/>
        <item x="0"/>
        <item m="1" x="3"/>
        <item h="1" x="1"/>
        <item m="1" x="4"/>
        <item m="1" x="5"/>
        <item m="1" x="6"/>
        <item t="default"/>
      </items>
    </pivotField>
    <pivotField subtotalTop="0" showAll="0">
      <items count="4">
        <item sd="0" x="2"/>
        <item sd="0" x="0"/>
        <item h="1" sd="0" x="1"/>
        <item t="default" sd="0"/>
      </items>
    </pivotField>
    <pivotField subtotalTop="0" showAll="0">
      <items count="29">
        <item sd="0" x="22"/>
        <item sd="0" x="4"/>
        <item sd="0" x="3"/>
        <item sd="0" x="11"/>
        <item sd="0" x="25"/>
        <item sd="0" x="13"/>
        <item sd="0" x="12"/>
        <item sd="0" x="24"/>
        <item sd="0" x="0"/>
        <item sd="0" x="6"/>
        <item sd="0" x="21"/>
        <item sd="0" x="1"/>
        <item sd="0" x="9"/>
        <item sd="0" x="7"/>
        <item sd="0" x="5"/>
        <item sd="0" x="2"/>
        <item sd="0" x="8"/>
        <item sd="0" x="14"/>
        <item sd="0" x="26"/>
        <item sd="0" x="19"/>
        <item sd="0" x="18"/>
        <item sd="0" x="16"/>
        <item sd="0" x="20"/>
        <item sd="0" x="15"/>
        <item sd="0" x="17"/>
        <item sd="0" x="10"/>
        <item sd="0" x="23"/>
        <item h="1" sd="0" x="27"/>
        <item t="default" sd="0"/>
      </items>
    </pivotField>
    <pivotField subtotalTop="0" showAll="0">
      <items count="4">
        <item sd="0" x="1"/>
        <item sd="0" x="0"/>
        <item h="1" sd="0" x="2"/>
        <item t="default" sd="0"/>
      </items>
    </pivotField>
    <pivotField subtotalTop="0" showAll="0">
      <items count="4">
        <item sd="0" x="0"/>
        <item sd="0" x="1"/>
        <item h="1" sd="0" x="2"/>
        <item t="default" sd="0"/>
      </items>
    </pivotField>
    <pivotField subtotalTop="0" showAll="0">
      <items count="4">
        <item sd="0" x="1"/>
        <item sd="0" x="0"/>
        <item h="1" sd="0" x="2"/>
        <item t="default" sd="0"/>
      </items>
    </pivotField>
    <pivotField subtotalTop="0" showAll="0">
      <items count="31">
        <item sd="0" x="21"/>
        <item sd="0" x="1"/>
        <item sd="0" x="8"/>
        <item sd="0" x="13"/>
        <item sd="0" x="24"/>
        <item sd="0" x="15"/>
        <item sd="0" x="0"/>
        <item sd="0" x="4"/>
        <item sd="0" x="10"/>
        <item sd="0" x="9"/>
        <item sd="0" x="19"/>
        <item sd="0" x="22"/>
        <item sd="0" x="7"/>
        <item sd="0" x="27"/>
        <item sd="0" x="12"/>
        <item sd="0" x="3"/>
        <item sd="0" x="17"/>
        <item sd="0" x="23"/>
        <item sd="0" x="20"/>
        <item sd="0" x="18"/>
        <item sd="0" x="25"/>
        <item sd="0" x="14"/>
        <item sd="0" x="16"/>
        <item sd="0" x="26"/>
        <item sd="0" x="29"/>
        <item sd="0" x="5"/>
        <item sd="0" x="2"/>
        <item sd="0" x="11"/>
        <item sd="0" x="6"/>
        <item h="1" sd="0" x="28"/>
        <item t="default" sd="0"/>
      </items>
    </pivotField>
    <pivotField axis="axisRow" subtotalTop="0" showAll="0">
      <items count="42">
        <item m="1" x="31"/>
        <item h="1" x="29"/>
        <item m="1" x="40"/>
        <item m="1" x="34"/>
        <item m="1" x="33"/>
        <item m="1" x="39"/>
        <item m="1" x="35"/>
        <item m="1" x="36"/>
        <item m="1" x="37"/>
        <item m="1" x="38"/>
        <item m="1" x="32"/>
        <item x="17"/>
        <item x="22"/>
        <item x="18"/>
        <item x="3"/>
        <item x="27"/>
        <item x="5"/>
        <item x="21"/>
        <item x="28"/>
        <item x="14"/>
        <item x="19"/>
        <item x="4"/>
        <item x="2"/>
        <item x="8"/>
        <item x="15"/>
        <item x="20"/>
        <item x="25"/>
        <item x="0"/>
        <item x="11"/>
        <item x="10"/>
        <item x="6"/>
        <item x="1"/>
        <item x="9"/>
        <item x="13"/>
        <item x="12"/>
        <item x="26"/>
        <item x="30"/>
        <item x="7"/>
        <item x="16"/>
        <item x="23"/>
        <item x="24"/>
        <item t="default"/>
      </items>
    </pivotField>
    <pivotField subtotalTop="0" showAll="0">
      <items count="5">
        <item sd="0" x="1"/>
        <item sd="0" x="0"/>
        <item sd="0" x="2"/>
        <item h="1" sd="0" x="3"/>
        <item t="default" sd="0"/>
      </items>
    </pivotField>
    <pivotField subtotalTop="0" showAll="0">
      <items count="12">
        <item sd="0" x="6"/>
        <item sd="0" x="9"/>
        <item sd="0" x="3"/>
        <item sd="0" x="1"/>
        <item sd="0" x="0"/>
        <item sd="0" x="5"/>
        <item sd="0" x="7"/>
        <item sd="0" x="2"/>
        <item sd="0" x="8"/>
        <item sd="0" x="4"/>
        <item h="1" sd="0" x="10"/>
        <item t="default" sd="0"/>
      </items>
    </pivotField>
    <pivotField subtotalTop="0" showAll="0">
      <items count="26">
        <item sd="0" x="23"/>
        <item sd="0" x="18"/>
        <item sd="0" x="4"/>
        <item sd="0" x="9"/>
        <item sd="0" x="5"/>
        <item sd="0" x="2"/>
        <item sd="0" x="1"/>
        <item sd="0" x="12"/>
        <item sd="0" x="15"/>
        <item sd="0" x="13"/>
        <item sd="0" x="20"/>
        <item sd="0" x="21"/>
        <item sd="0" x="17"/>
        <item sd="0" x="19"/>
        <item sd="0" x="8"/>
        <item sd="0" x="11"/>
        <item sd="0" x="16"/>
        <item sd="0" x="10"/>
        <item sd="0" x="3"/>
        <item sd="0" x="6"/>
        <item sd="0" x="7"/>
        <item sd="0" x="14"/>
        <item sd="0" x="0"/>
        <item sd="0" x="22"/>
        <item h="1" sd="0" x="24"/>
        <item t="default" sd="0"/>
      </items>
    </pivotField>
    <pivotField subtotalTop="0" showAll="0">
      <items count="26">
        <item sd="0" x="23"/>
        <item sd="0" x="20"/>
        <item sd="0" x="18"/>
        <item sd="0" x="21"/>
        <item sd="0" x="12"/>
        <item sd="0" x="17"/>
        <item sd="0" x="8"/>
        <item sd="0" x="15"/>
        <item sd="0" x="11"/>
        <item sd="0" x="19"/>
        <item sd="0" x="2"/>
        <item sd="0" x="4"/>
        <item sd="0" x="9"/>
        <item sd="0" x="16"/>
        <item sd="0" x="10"/>
        <item sd="0" x="3"/>
        <item sd="0" x="1"/>
        <item sd="0" x="13"/>
        <item sd="0" x="5"/>
        <item sd="0" x="6"/>
        <item sd="0" x="14"/>
        <item sd="0" x="0"/>
        <item sd="0" x="22"/>
        <item sd="0" x="7"/>
        <item h="1" sd="0" x="24"/>
        <item t="default" sd="0"/>
      </items>
    </pivotField>
    <pivotField subtotalTop="0" showAll="0">
      <items count="12">
        <item sd="0" x="4"/>
        <item sd="0" x="6"/>
        <item sd="0" x="9"/>
        <item sd="0" x="3"/>
        <item sd="0" x="1"/>
        <item sd="0" x="0"/>
        <item sd="0" x="5"/>
        <item sd="0" x="7"/>
        <item sd="0" x="2"/>
        <item sd="0" x="8"/>
        <item h="1" sd="0" x="10"/>
        <item t="default" sd="0"/>
      </items>
    </pivotField>
    <pivotField subtotalTop="0" showAll="0">
      <items count="5">
        <item sd="0" x="1"/>
        <item sd="0" x="0"/>
        <item sd="0" x="2"/>
        <item h="1" sd="0" x="3"/>
        <item t="default" sd="0"/>
      </items>
    </pivotField>
    <pivotField subtotalTop="0" showAll="0">
      <items count="5">
        <item sd="0" x="1"/>
        <item sd="0" x="0"/>
        <item sd="0" x="2"/>
        <item h="1" sd="0" x="3"/>
        <item t="default" sd="0"/>
      </items>
    </pivotField>
    <pivotField subtotalTop="0" showAll="0">
      <items count="5">
        <item sd="0" x="0"/>
        <item sd="0" x="1"/>
        <item sd="0" x="2"/>
        <item h="1" sd="0" x="3"/>
        <item t="default" sd="0"/>
      </items>
    </pivotField>
    <pivotField subtotalTop="0" showAll="0">
      <items count="5">
        <item sd="0" x="2"/>
        <item sd="0" x="0"/>
        <item sd="0" x="1"/>
        <item h="1" sd="0" x="3"/>
        <item t="default" sd="0"/>
      </items>
    </pivotField>
    <pivotField subtotalTop="0" showAll="0">
      <items count="11">
        <item sd="0" x="1"/>
        <item sd="0" x="2"/>
        <item sd="0" x="3"/>
        <item sd="0" x="8"/>
        <item sd="0" x="9"/>
        <item sd="0" x="7"/>
        <item sd="0" x="4"/>
        <item sd="0" x="5"/>
        <item sd="0" x="0"/>
        <item h="1" sd="0" x="6"/>
        <item t="default" sd="0"/>
      </items>
    </pivotField>
    <pivotField subtotalTop="0" showAll="0">
      <items count="2">
        <item sd="0" x="0"/>
        <item t="default" sd="0"/>
      </items>
    </pivotField>
    <pivotField subtotalTop="0" showAll="0">
      <items count="62">
        <item sd="0" x="52"/>
        <item sd="0" x="44"/>
        <item sd="0" x="45"/>
        <item sd="0" x="28"/>
        <item sd="0" x="31"/>
        <item sd="0" x="29"/>
        <item sd="0" x="27"/>
        <item sd="0" x="55"/>
        <item sd="0" x="56"/>
        <item sd="0" x="30"/>
        <item sd="0" x="47"/>
        <item sd="0" x="48"/>
        <item sd="0" x="50"/>
        <item sd="0" x="49"/>
        <item sd="0" x="13"/>
        <item sd="0" x="37"/>
        <item sd="0" x="39"/>
        <item sd="0" x="38"/>
        <item sd="0" x="14"/>
        <item sd="0" x="15"/>
        <item sd="0" x="16"/>
        <item sd="0" x="18"/>
        <item sd="0" x="17"/>
        <item sd="0" x="32"/>
        <item sd="0" x="33"/>
        <item sd="0" x="25"/>
        <item sd="0" x="35"/>
        <item sd="0" x="36"/>
        <item sd="0" x="46"/>
        <item sd="0" x="51"/>
        <item sd="0" x="19"/>
        <item sd="0" x="2"/>
        <item sd="0" x="20"/>
        <item sd="0" x="26"/>
        <item sd="0" x="21"/>
        <item sd="0" x="22"/>
        <item sd="0" x="34"/>
        <item sd="0" x="23"/>
        <item sd="0" x="1"/>
        <item sd="0" x="53"/>
        <item sd="0" x="54"/>
        <item sd="0" x="40"/>
        <item sd="0" x="41"/>
        <item sd="0" x="43"/>
        <item sd="0" x="42"/>
        <item sd="0" x="3"/>
        <item sd="0" x="57"/>
        <item sd="0" x="58"/>
        <item sd="0" x="59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24"/>
        <item h="1" sd="0" x="60"/>
        <item t="default" sd="0"/>
      </items>
    </pivotField>
    <pivotField subtotalTop="0" showAll="0">
      <items count="12">
        <item sd="0" x="9"/>
        <item sd="0" x="8"/>
        <item sd="0" x="10"/>
        <item sd="0" x="5"/>
        <item sd="0" x="7"/>
        <item sd="0" x="3"/>
        <item sd="0" x="0"/>
        <item sd="0" x="2"/>
        <item sd="0" x="4"/>
        <item sd="0" x="6"/>
        <item h="1" sd="0" x="1"/>
        <item t="default" sd="0"/>
      </items>
    </pivotField>
    <pivotField subtotalTop="0" showAll="0">
      <items count="5">
        <item sd="0" x="2"/>
        <item sd="0" x="0"/>
        <item sd="0" x="1"/>
        <item h="1" sd="0" x="3"/>
        <item t="default" sd="0"/>
      </items>
    </pivotField>
    <pivotField subtotalTop="0" showAll="0">
      <items count="4">
        <item sd="0" x="1"/>
        <item sd="0" x="0"/>
        <item h="1" sd="0" x="2"/>
        <item t="default" sd="0"/>
      </items>
    </pivotField>
  </pivotFields>
  <rowFields count="2">
    <field x="6"/>
    <field x="23"/>
  </rowFields>
  <rowItems count="28">
    <i>
      <x/>
    </i>
    <i>
      <x v="1"/>
    </i>
    <i>
      <x v="3"/>
    </i>
    <i>
      <x v="7"/>
    </i>
    <i>
      <x v="9"/>
    </i>
    <i>
      <x v="12"/>
    </i>
    <i>
      <x v="13"/>
    </i>
    <i>
      <x v="14"/>
    </i>
    <i>
      <x v="15"/>
    </i>
    <i>
      <x v="16"/>
    </i>
    <i>
      <x v="20"/>
    </i>
    <i>
      <x v="27"/>
    </i>
    <i>
      <x v="32"/>
    </i>
    <i>
      <x v="33"/>
    </i>
    <i>
      <x v="34"/>
    </i>
    <i>
      <x v="36"/>
    </i>
    <i>
      <x v="37"/>
    </i>
    <i>
      <x v="39"/>
    </i>
    <i>
      <x v="40"/>
    </i>
    <i>
      <x v="44"/>
    </i>
    <i>
      <x v="45"/>
    </i>
    <i>
      <x v="55"/>
    </i>
    <i>
      <x v="94"/>
    </i>
    <i>
      <x v="108"/>
    </i>
    <i>
      <x v="117"/>
    </i>
    <i>
      <x v="124"/>
    </i>
    <i>
      <x v="125"/>
    </i>
    <i>
      <x v="161"/>
    </i>
  </rowItems>
  <colFields count="1">
    <field x="16"/>
  </colFields>
  <colItems count="2">
    <i>
      <x/>
    </i>
    <i>
      <x v="1"/>
    </i>
  </colItems>
  <pageFields count="1">
    <pageField fld="15" hier="-1"/>
  </pageFields>
  <dataFields count="1">
    <dataField name="_Qta/kg da ev." fld="12" baseField="0" baseItem="0"/>
  </dataFields>
  <formats count="8">
    <format dxfId="33">
      <pivotArea outline="0" collapsedLevelsAreSubtotals="1" fieldPosition="0">
        <references count="1">
          <reference field="16" count="3" selected="0">
            <x v="1"/>
            <x v="2"/>
            <x v="3"/>
          </reference>
        </references>
      </pivotArea>
    </format>
    <format dxfId="32">
      <pivotArea field="-2" type="button" dataOnly="0" labelOnly="1" outline="0" axis="axisValues" fieldPosition="0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16" count="1">
            <x v="0"/>
          </reference>
        </references>
      </pivotArea>
    </format>
    <format dxfId="29">
      <pivotArea dataOnly="0" labelOnly="1" fieldPosition="0">
        <references count="1">
          <reference field="16" count="3">
            <x v="1"/>
            <x v="2"/>
            <x v="3"/>
          </reference>
        </references>
      </pivotArea>
    </format>
    <format dxfId="28">
      <pivotArea dataOnly="0" labelOnly="1" outline="0" fieldPosition="0">
        <references count="2">
          <reference field="4294967294" count="1">
            <x v="0"/>
          </reference>
          <reference field="16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4294967294" count="1">
            <x v="0"/>
          </reference>
          <reference field="16" count="1" selected="0">
            <x v="2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0"/>
          </reference>
          <reference field="1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ella pivot3" cacheId="13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F9" firstHeaderRow="1" firstDataRow="2" firstDataCol="1"/>
  <pivotFields count="47">
    <pivotField showAll="0">
      <items count="3">
        <item sd="0" x="0"/>
        <item h="1" sd="0" x="1"/>
        <item t="default" sd="0"/>
      </items>
    </pivotField>
    <pivotField showAll="0">
      <items count="9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h="1" sd="0" x="95"/>
        <item t="default" sd="0"/>
      </items>
    </pivotField>
    <pivotField showAll="0">
      <items count="81">
        <item sd="0" x="3"/>
        <item sd="0" x="4"/>
        <item sd="0" x="61"/>
        <item sd="0" x="73"/>
        <item sd="0" x="43"/>
        <item sd="0" x="34"/>
        <item sd="0" x="0"/>
        <item sd="0" x="74"/>
        <item sd="0" x="75"/>
        <item sd="0" x="44"/>
        <item sd="0" x="2"/>
        <item sd="0" x="35"/>
        <item sd="0" x="41"/>
        <item sd="0" x="36"/>
        <item sd="0" x="37"/>
        <item sd="0" x="59"/>
        <item sd="0" x="64"/>
        <item sd="0" x="48"/>
        <item sd="0" x="49"/>
        <item sd="0" x="52"/>
        <item sd="0" x="71"/>
        <item sd="0" x="19"/>
        <item sd="0" x="20"/>
        <item sd="0" x="50"/>
        <item sd="0" x="53"/>
        <item sd="0" x="54"/>
        <item sd="0" x="5"/>
        <item sd="0" x="6"/>
        <item sd="0" x="14"/>
        <item sd="0" x="15"/>
        <item sd="0" x="16"/>
        <item sd="0" x="45"/>
        <item sd="0" x="55"/>
        <item sd="0" x="21"/>
        <item sd="0" x="22"/>
        <item sd="0" x="23"/>
        <item sd="0" x="39"/>
        <item sd="0" x="58"/>
        <item sd="0" x="51"/>
        <item sd="0" x="38"/>
        <item sd="0" x="17"/>
        <item sd="0" x="18"/>
        <item sd="0" x="60"/>
        <item sd="0" x="24"/>
        <item sd="0" x="7"/>
        <item sd="0" x="8"/>
        <item sd="0" x="9"/>
        <item sd="0" x="10"/>
        <item sd="0" x="11"/>
        <item sd="0" x="42"/>
        <item sd="0" x="1"/>
        <item sd="0" x="76"/>
        <item sd="0" x="65"/>
        <item sd="0" x="66"/>
        <item sd="0" x="40"/>
        <item sd="0" x="77"/>
        <item sd="0" x="69"/>
        <item sd="0" x="70"/>
        <item sd="0" x="78"/>
        <item sd="0" x="46"/>
        <item sd="0" x="67"/>
        <item sd="0" x="12"/>
        <item sd="0" x="13"/>
        <item sd="0" x="72"/>
        <item sd="0" x="56"/>
        <item sd="0" x="25"/>
        <item sd="0" x="26"/>
        <item sd="0" x="27"/>
        <item sd="0" x="28"/>
        <item sd="0" x="29"/>
        <item sd="0" x="30"/>
        <item sd="0" x="47"/>
        <item sd="0" x="68"/>
        <item sd="0" x="31"/>
        <item sd="0" x="57"/>
        <item sd="0" x="62"/>
        <item sd="0" x="32"/>
        <item sd="0" x="33"/>
        <item sd="0" x="63"/>
        <item h="1" sd="0" x="79"/>
        <item t="default" sd="0"/>
      </items>
    </pivotField>
    <pivotField showAll="0">
      <items count="4">
        <item sd="0" x="1"/>
        <item sd="0" x="0"/>
        <item h="1" sd="0" x="2"/>
        <item t="default" sd="0"/>
      </items>
    </pivotField>
    <pivotField showAll="0">
      <items count="25">
        <item sd="0" x="3"/>
        <item sd="0" x="4"/>
        <item sd="0" x="15"/>
        <item sd="0" x="21"/>
        <item sd="0" x="17"/>
        <item sd="0" x="22"/>
        <item sd="0" x="7"/>
        <item sd="0" x="16"/>
        <item sd="0" x="14"/>
        <item sd="0" x="18"/>
        <item sd="0" x="5"/>
        <item sd="0" x="11"/>
        <item sd="0" x="19"/>
        <item sd="0" x="0"/>
        <item sd="0" x="8"/>
        <item sd="0" x="12"/>
        <item sd="0" x="6"/>
        <item sd="0" x="9"/>
        <item sd="0" x="2"/>
        <item sd="0" x="13"/>
        <item sd="0" x="1"/>
        <item sd="0" x="20"/>
        <item sd="0" x="10"/>
        <item h="1" sd="0" x="23"/>
        <item t="default" sd="0"/>
      </items>
    </pivotField>
    <pivotField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h="1" sd="0" x="29"/>
        <item t="default" sd="0"/>
      </items>
    </pivotField>
    <pivotField axis="axisRow" showAll="0">
      <items count="172">
        <item sd="0" x="20"/>
        <item sd="0" x="1"/>
        <item sd="0" m="1" x="70"/>
        <item sd="0" x="7"/>
        <item sd="0" m="1" x="52"/>
        <item sd="0" m="1" x="58"/>
        <item sd="0" m="1" x="37"/>
        <item sd="0" x="12"/>
        <item sd="0" m="1" x="76"/>
        <item sd="0" x="23"/>
        <item sd="0" m="1" x="83"/>
        <item sd="0" m="1" x="123"/>
        <item sd="0" x="4"/>
        <item sd="0" x="9"/>
        <item sd="0" x="8"/>
        <item sd="0" x="14"/>
        <item sd="0" x="18"/>
        <item sd="0" m="1" x="67"/>
        <item sd="0" m="1" x="110"/>
        <item sd="0" m="1" x="95"/>
        <item sd="0" x="6"/>
        <item sd="0" m="1" x="57"/>
        <item sd="0" m="1" x="62"/>
        <item sd="0" m="1" x="136"/>
        <item sd="0" m="1" x="43"/>
        <item sd="0" m="1" x="50"/>
        <item sd="0" m="1" x="92"/>
        <item sd="0" x="22"/>
        <item sd="0" m="1" x="106"/>
        <item sd="0" m="1" x="85"/>
        <item sd="0" m="1" x="35"/>
        <item sd="0" m="1" x="166"/>
        <item sd="0" x="16"/>
        <item sd="0" x="13"/>
        <item sd="0" x="15"/>
        <item sd="0" m="1" x="49"/>
        <item sd="0" x="5"/>
        <item sd="0" x="2"/>
        <item sd="0" m="1" x="48"/>
        <item sd="0" x="10"/>
        <item sd="0" x="24"/>
        <item sd="0" m="1" x="34"/>
        <item h="1" sd="0" x="29"/>
        <item sd="0" m="1" x="66"/>
        <item sd="0" x="0"/>
        <item sd="0" x="3"/>
        <item sd="0" m="1" x="60"/>
        <item sd="0" m="1" x="64"/>
        <item sd="0" m="1" x="117"/>
        <item sd="0" m="1" x="169"/>
        <item sd="0" m="1" x="168"/>
        <item sd="0" m="1" x="103"/>
        <item sd="0" m="1" x="111"/>
        <item sd="0" m="1" x="170"/>
        <item sd="0" m="1" x="167"/>
        <item sd="0" x="19"/>
        <item sd="0" m="1" x="164"/>
        <item sd="0" m="1" x="42"/>
        <item sd="0" m="1" x="165"/>
        <item sd="0" m="1" x="86"/>
        <item sd="0" m="1" x="105"/>
        <item sd="0" m="1" x="69"/>
        <item sd="0" m="1" x="80"/>
        <item sd="0" m="1" x="138"/>
        <item sd="0" m="1" x="145"/>
        <item sd="0" m="1" x="77"/>
        <item sd="0" m="1" x="46"/>
        <item sd="0" m="1" x="79"/>
        <item sd="0" m="1" x="100"/>
        <item sd="0" m="1" x="127"/>
        <item sd="0" m="1" x="78"/>
        <item sd="0" m="1" x="160"/>
        <item sd="0" m="1" x="163"/>
        <item sd="0" m="1" x="39"/>
        <item sd="0" m="1" x="112"/>
        <item sd="0" m="1" x="139"/>
        <item sd="0" m="1" x="162"/>
        <item sd="0" m="1" x="101"/>
        <item sd="0" m="1" x="134"/>
        <item sd="0" m="1" x="142"/>
        <item sd="0" m="1" x="109"/>
        <item sd="0" m="1" x="159"/>
        <item sd="0" m="1" x="161"/>
        <item sd="0" m="1" x="65"/>
        <item sd="0" m="1" x="81"/>
        <item sd="0" m="1" x="158"/>
        <item sd="0" m="1" x="91"/>
        <item sd="0" m="1" x="157"/>
        <item sd="0" m="1" x="156"/>
        <item sd="0" m="1" x="155"/>
        <item sd="0" m="1" x="124"/>
        <item sd="0" m="1" x="107"/>
        <item sd="0" m="1" x="96"/>
        <item sd="0" m="1" x="72"/>
        <item sd="0" x="11"/>
        <item sd="0" m="1" x="33"/>
        <item sd="0" m="1" x="153"/>
        <item sd="0" m="1" x="154"/>
        <item sd="0" m="1" x="88"/>
        <item sd="0" m="1" x="152"/>
        <item sd="0" m="1" x="146"/>
        <item sd="0" m="1" x="151"/>
        <item sd="0" m="1" x="118"/>
        <item sd="0" m="1" x="150"/>
        <item sd="0" m="1" x="149"/>
        <item sd="0" m="1" x="32"/>
        <item sd="0" m="1" x="68"/>
        <item sd="0" m="1" x="148"/>
        <item sd="0" x="25"/>
        <item sd="0" m="1" x="93"/>
        <item sd="0" m="1" x="147"/>
        <item sd="0" m="1" x="63"/>
        <item sd="0" m="1" x="55"/>
        <item sd="0" m="1" x="40"/>
        <item sd="0" m="1" x="143"/>
        <item sd="0" m="1" x="74"/>
        <item sd="0" m="1" x="61"/>
        <item sd="0" x="21"/>
        <item sd="0" m="1" x="144"/>
        <item sd="0" m="1" x="140"/>
        <item sd="0" m="1" x="141"/>
        <item sd="0" m="1" x="137"/>
        <item sd="0" m="1" x="130"/>
        <item sd="0" m="1" x="135"/>
        <item sd="0" x="17"/>
        <item sd="0" x="28"/>
        <item sd="0" m="1" x="30"/>
        <item sd="0" m="1" x="71"/>
        <item sd="0" m="1" x="133"/>
        <item sd="0" m="1" x="132"/>
        <item sd="0" m="1" x="36"/>
        <item sd="0" m="1" x="51"/>
        <item sd="0" m="1" x="131"/>
        <item sd="0" m="1" x="128"/>
        <item sd="0" m="1" x="38"/>
        <item sd="0" m="1" x="129"/>
        <item sd="0" m="1" x="119"/>
        <item sd="0" m="1" x="97"/>
        <item sd="0" m="1" x="98"/>
        <item sd="0" m="1" x="120"/>
        <item sd="0" m="1" x="121"/>
        <item sd="0" m="1" x="122"/>
        <item sd="0" m="1" x="125"/>
        <item sd="0" m="1" x="126"/>
        <item sd="0" m="1" x="114"/>
        <item sd="0" m="1" x="115"/>
        <item sd="0" m="1" x="44"/>
        <item sd="0" m="1" x="113"/>
        <item sd="0" m="1" x="54"/>
        <item sd="0" m="1" x="116"/>
        <item sd="0" m="1" x="87"/>
        <item sd="0" m="1" x="59"/>
        <item sd="0" m="1" x="108"/>
        <item sd="0" m="1" x="102"/>
        <item sd="0" m="1" x="104"/>
        <item sd="0" m="1" x="47"/>
        <item sd="0" m="1" x="99"/>
        <item sd="0" m="1" x="90"/>
        <item sd="0" m="1" x="73"/>
        <item sd="0" m="1" x="53"/>
        <item sd="0" m="1" x="94"/>
        <item sd="0" x="26"/>
        <item sd="0" m="1" x="89"/>
        <item sd="0" m="1" x="84"/>
        <item sd="0" m="1" x="31"/>
        <item sd="0" m="1" x="82"/>
        <item sd="0" m="1" x="75"/>
        <item sd="0" m="1" x="56"/>
        <item sd="0" m="1" x="41"/>
        <item sd="0" m="1" x="45"/>
        <item sd="0" x="27"/>
        <item t="default" sd="0"/>
      </items>
    </pivotField>
    <pivotField showAll="0">
      <items count="69">
        <item sd="0" x="31"/>
        <item sd="0" x="56"/>
        <item sd="0" x="19"/>
        <item sd="0" x="18"/>
        <item sd="0" x="58"/>
        <item sd="0" x="45"/>
        <item sd="0" x="63"/>
        <item sd="0" x="8"/>
        <item sd="0" x="7"/>
        <item sd="0" x="26"/>
        <item sd="0" x="1"/>
        <item sd="0" x="27"/>
        <item sd="0" x="16"/>
        <item sd="0" x="66"/>
        <item sd="0" x="24"/>
        <item sd="0" x="13"/>
        <item sd="0" x="12"/>
        <item sd="0" x="25"/>
        <item sd="0" x="10"/>
        <item sd="0" x="9"/>
        <item sd="0" x="20"/>
        <item sd="0" x="4"/>
        <item sd="0" x="11"/>
        <item sd="0" x="6"/>
        <item sd="0" x="5"/>
        <item sd="0" x="3"/>
        <item sd="0" x="29"/>
        <item sd="0" x="22"/>
        <item sd="0" x="60"/>
        <item sd="0" x="57"/>
        <item sd="0" x="40"/>
        <item sd="0" x="41"/>
        <item sd="0" x="0"/>
        <item sd="0" x="42"/>
        <item sd="0" x="43"/>
        <item sd="0" x="32"/>
        <item sd="0" x="48"/>
        <item sd="0" x="33"/>
        <item sd="0" x="34"/>
        <item sd="0" x="35"/>
        <item sd="0" x="36"/>
        <item sd="0" x="2"/>
        <item sd="0" x="62"/>
        <item sd="0" x="61"/>
        <item sd="0" x="21"/>
        <item sd="0" x="44"/>
        <item sd="0" x="14"/>
        <item sd="0" x="30"/>
        <item sd="0" x="37"/>
        <item sd="0" x="15"/>
        <item sd="0" x="46"/>
        <item sd="0" x="23"/>
        <item sd="0" x="50"/>
        <item sd="0" x="49"/>
        <item sd="0" x="65"/>
        <item sd="0" x="28"/>
        <item sd="0" x="38"/>
        <item sd="0" x="39"/>
        <item sd="0" x="64"/>
        <item sd="0" x="59"/>
        <item sd="0" x="17"/>
        <item sd="0" x="52"/>
        <item sd="0" x="53"/>
        <item sd="0" x="54"/>
        <item sd="0" x="55"/>
        <item sd="0" x="47"/>
        <item sd="0" x="51"/>
        <item h="1" sd="0" x="67"/>
        <item t="default" sd="0"/>
      </items>
    </pivotField>
    <pivotField showAll="0">
      <items count="74">
        <item sd="0" x="32"/>
        <item sd="0" x="29"/>
        <item sd="0" x="33"/>
        <item sd="0" x="34"/>
        <item sd="0" x="46"/>
        <item sd="0" x="70"/>
        <item sd="0" x="71"/>
        <item sd="0" x="47"/>
        <item sd="0" x="17"/>
        <item sd="0" x="14"/>
        <item sd="0" x="15"/>
        <item sd="0" x="51"/>
        <item sd="0" x="52"/>
        <item sd="0" x="16"/>
        <item sd="0" x="18"/>
        <item sd="0" x="68"/>
        <item sd="0" x="67"/>
        <item sd="0" x="0"/>
        <item sd="0" x="48"/>
        <item sd="0" x="55"/>
        <item sd="0" x="56"/>
        <item sd="0" x="53"/>
        <item sd="0" x="54"/>
        <item sd="0" x="69"/>
        <item sd="0" x="61"/>
        <item sd="0" x="65"/>
        <item sd="0" x="64"/>
        <item sd="0" x="60"/>
        <item sd="0" x="4"/>
        <item sd="0" x="11"/>
        <item sd="0" x="13"/>
        <item sd="0" x="12"/>
        <item sd="0" x="6"/>
        <item sd="0" x="5"/>
        <item sd="0" x="10"/>
        <item sd="0" x="9"/>
        <item sd="0" x="8"/>
        <item sd="0" x="7"/>
        <item sd="0" x="45"/>
        <item sd="0" x="58"/>
        <item sd="0" x="2"/>
        <item sd="0" x="1"/>
        <item sd="0" x="57"/>
        <item sd="0" x="59"/>
        <item sd="0" x="35"/>
        <item sd="0" x="38"/>
        <item sd="0" x="63"/>
        <item sd="0" x="62"/>
        <item sd="0" x="36"/>
        <item sd="0" x="31"/>
        <item sd="0" x="50"/>
        <item sd="0" x="19"/>
        <item sd="0" x="24"/>
        <item sd="0" x="25"/>
        <item sd="0" x="20"/>
        <item sd="0" x="26"/>
        <item sd="0" x="27"/>
        <item sd="0" x="23"/>
        <item sd="0" x="21"/>
        <item sd="0" x="22"/>
        <item sd="0" x="3"/>
        <item sd="0" x="41"/>
        <item sd="0" x="42"/>
        <item sd="0" x="43"/>
        <item sd="0" x="44"/>
        <item sd="0" x="39"/>
        <item sd="0" x="40"/>
        <item sd="0" x="30"/>
        <item sd="0" x="37"/>
        <item sd="0" x="49"/>
        <item sd="0" x="66"/>
        <item sd="0" x="28"/>
        <item h="1" sd="0" x="72"/>
        <item t="default" sd="0"/>
      </items>
    </pivotField>
    <pivotField axis="axisRow" showAll="0">
      <items count="562">
        <item sd="0" m="1" x="352"/>
        <item sd="0" m="1" x="284"/>
        <item sd="0" m="1" x="68"/>
        <item sd="0" m="1" x="494"/>
        <item sd="0" m="1" x="177"/>
        <item sd="0" m="1" x="219"/>
        <item sd="0" m="1" x="302"/>
        <item sd="0" m="1" x="301"/>
        <item sd="0" m="1" x="471"/>
        <item sd="0" m="1" x="539"/>
        <item sd="0" m="1" x="181"/>
        <item sd="0" m="1" x="455"/>
        <item sd="0" x="28"/>
        <item sd="0" m="1" x="70"/>
        <item sd="0" m="1" x="540"/>
        <item sd="0" x="37"/>
        <item sd="0" m="1" x="265"/>
        <item sd="0" m="1" x="72"/>
        <item sd="0" m="1" x="408"/>
        <item sd="0" m="1" x="71"/>
        <item sd="0" m="1" x="380"/>
        <item sd="0" m="1" x="82"/>
        <item sd="0" m="1" x="258"/>
        <item sd="0" m="1" x="194"/>
        <item sd="0" m="1" x="152"/>
        <item sd="0" m="1" x="469"/>
        <item sd="0" m="1" x="218"/>
        <item sd="0" m="1" x="559"/>
        <item sd="0" m="1" x="391"/>
        <item sd="0" m="1" x="266"/>
        <item sd="0" m="1" x="240"/>
        <item sd="0" x="20"/>
        <item sd="0" x="1"/>
        <item sd="0" m="1" x="404"/>
        <item sd="0" m="1" x="197"/>
        <item sd="0" m="1" x="117"/>
        <item sd="0" m="1" x="137"/>
        <item sd="0" x="19"/>
        <item sd="0" m="1" x="558"/>
        <item sd="0" m="1" x="254"/>
        <item sd="0" m="1" x="200"/>
        <item sd="0" m="1" x="263"/>
        <item sd="0" m="1" x="128"/>
        <item sd="0" m="1" x="124"/>
        <item sd="0" m="1" x="83"/>
        <item sd="0" m="1" x="221"/>
        <item sd="0" m="1" x="239"/>
        <item sd="0" m="1" x="158"/>
        <item sd="0" x="43"/>
        <item sd="0" m="1" x="493"/>
        <item sd="0" x="3"/>
        <item sd="0" m="1" x="253"/>
        <item sd="0" m="1" x="184"/>
        <item sd="0" m="1" x="560"/>
        <item sd="0" m="1" x="202"/>
        <item sd="0" m="1" x="64"/>
        <item sd="0" m="1" x="203"/>
        <item sd="0" x="27"/>
        <item sd="0" m="1" x="378"/>
        <item sd="0" m="1" x="130"/>
        <item sd="0" m="1" x="297"/>
        <item sd="0" m="1" x="291"/>
        <item sd="0" m="1" x="463"/>
        <item sd="0" m="1" x="166"/>
        <item sd="0" m="1" x="355"/>
        <item sd="0" m="1" x="62"/>
        <item sd="0" m="1" x="464"/>
        <item sd="0" m="1" x="109"/>
        <item sd="0" x="42"/>
        <item sd="0" x="30"/>
        <item sd="0" x="29"/>
        <item sd="0" m="1" x="129"/>
        <item sd="0" m="1" x="262"/>
        <item sd="0" x="53"/>
        <item sd="0" m="1" x="110"/>
        <item sd="0" x="38"/>
        <item sd="0" m="1" x="93"/>
        <item sd="0" m="1" x="85"/>
        <item sd="0" x="16"/>
        <item sd="0" x="10"/>
        <item sd="0" x="18"/>
        <item sd="0" m="1" x="198"/>
        <item sd="0" x="33"/>
        <item sd="0" m="1" x="386"/>
        <item sd="0" m="1" x="516"/>
        <item sd="0" m="1" x="180"/>
        <item sd="0" m="1" x="271"/>
        <item sd="0" m="1" x="125"/>
        <item sd="0" m="1" x="260"/>
        <item sd="0" m="1" x="151"/>
        <item sd="0" m="1" x="251"/>
        <item sd="0" m="1" x="446"/>
        <item sd="0" m="1" x="399"/>
        <item sd="0" m="1" x="398"/>
        <item sd="0" m="1" x="327"/>
        <item sd="0" m="1" x="104"/>
        <item sd="0" m="1" x="457"/>
        <item sd="0" m="1" x="407"/>
        <item sd="0" m="1" x="96"/>
        <item sd="0" m="1" x="348"/>
        <item sd="0" m="1" x="80"/>
        <item sd="0" m="1" x="230"/>
        <item sd="0" m="1" x="210"/>
        <item sd="0" m="1" x="295"/>
        <item sd="0" m="1" x="548"/>
        <item sd="0" x="49"/>
        <item sd="0" m="1" x="233"/>
        <item sd="0" m="1" x="305"/>
        <item sd="0" m="1" x="272"/>
        <item h="1" sd="0" x="61"/>
        <item sd="0" m="1" x="140"/>
        <item sd="0" m="1" x="75"/>
        <item sd="0" m="1" x="76"/>
        <item sd="0" m="1" x="116"/>
        <item sd="0" m="1" x="259"/>
        <item sd="0" m="1" x="236"/>
        <item sd="0" m="1" x="323"/>
        <item sd="0" m="1" x="474"/>
        <item sd="0" m="1" x="486"/>
        <item sd="0" m="1" x="487"/>
        <item sd="0" m="1" x="488"/>
        <item sd="0" m="1" x="489"/>
        <item sd="0" m="1" x="490"/>
        <item sd="0" m="1" x="491"/>
        <item sd="0" m="1" x="492"/>
        <item sd="0" x="9"/>
        <item sd="0" m="1" x="366"/>
        <item sd="0" m="1" x="286"/>
        <item sd="0" x="11"/>
        <item sd="0" m="1" x="542"/>
        <item sd="0" m="1" x="304"/>
        <item sd="0" x="25"/>
        <item sd="0" x="26"/>
        <item sd="0" m="1" x="325"/>
        <item sd="0" m="1" x="293"/>
        <item sd="0" m="1" x="515"/>
        <item sd="0" m="1" x="91"/>
        <item sd="0" m="1" x="379"/>
        <item sd="0" m="1" x="212"/>
        <item sd="0" m="1" x="114"/>
        <item sd="0" m="1" x="138"/>
        <item sd="0" m="1" x="307"/>
        <item sd="0" m="1" x="556"/>
        <item sd="0" m="1" x="555"/>
        <item sd="0" m="1" x="523"/>
        <item sd="0" x="48"/>
        <item sd="0" x="41"/>
        <item sd="0" m="1" x="433"/>
        <item sd="0" m="1" x="557"/>
        <item sd="0" m="1" x="552"/>
        <item sd="0" m="1" x="393"/>
        <item sd="0" m="1" x="292"/>
        <item sd="0" m="1" x="303"/>
        <item sd="0" m="1" x="385"/>
        <item sd="0" x="14"/>
        <item sd="0" m="1" x="466"/>
        <item sd="0" m="1" x="394"/>
        <item sd="0" m="1" x="541"/>
        <item sd="0" m="1" x="245"/>
        <item sd="0" m="1" x="554"/>
        <item sd="0" m="1" x="550"/>
        <item sd="0" m="1" x="98"/>
        <item sd="0" m="1" x="99"/>
        <item sd="0" m="1" x="100"/>
        <item sd="0" x="51"/>
        <item sd="0" m="1" x="551"/>
        <item sd="0" m="1" x="185"/>
        <item sd="0" m="1" x="231"/>
        <item sd="0" m="1" x="451"/>
        <item sd="0" m="1" x="485"/>
        <item sd="0" m="1" x="549"/>
        <item sd="0" m="1" x="276"/>
        <item sd="0" m="1" x="277"/>
        <item sd="0" m="1" x="332"/>
        <item sd="0" m="1" x="126"/>
        <item sd="0" m="1" x="335"/>
        <item sd="0" m="1" x="333"/>
        <item sd="0" m="1" x="156"/>
        <item sd="0" m="1" x="547"/>
        <item sd="0" m="1" x="278"/>
        <item sd="0" m="1" x="510"/>
        <item sd="0" m="1" x="81"/>
        <item sd="0" m="1" x="183"/>
        <item sd="0" m="1" x="361"/>
        <item sd="0" m="1" x="362"/>
        <item sd="0" m="1" x="279"/>
        <item sd="0" m="1" x="187"/>
        <item sd="0" m="1" x="331"/>
        <item sd="0" m="1" x="377"/>
        <item sd="0" m="1" x="546"/>
        <item sd="0" m="1" x="423"/>
        <item sd="0" m="1" x="142"/>
        <item sd="0" m="1" x="321"/>
        <item sd="0" m="1" x="472"/>
        <item sd="0" m="1" x="553"/>
        <item sd="0" x="52"/>
        <item sd="0" m="1" x="543"/>
        <item sd="0" m="1" x="513"/>
        <item sd="0" m="1" x="347"/>
        <item sd="0" m="1" x="544"/>
        <item sd="0" m="1" x="545"/>
        <item sd="0" m="1" x="175"/>
        <item sd="0" m="1" x="176"/>
        <item sd="0" m="1" x="171"/>
        <item sd="0" x="2"/>
        <item sd="0" m="1" x="533"/>
        <item sd="0" m="1" x="517"/>
        <item sd="0" m="1" x="105"/>
        <item sd="0" m="1" x="534"/>
        <item sd="0" m="1" x="535"/>
        <item sd="0" m="1" x="536"/>
        <item sd="0" m="1" x="537"/>
        <item sd="0" m="1" x="205"/>
        <item sd="0" m="1" x="201"/>
        <item sd="0" m="1" x="204"/>
        <item sd="0" m="1" x="191"/>
        <item sd="0" m="1" x="397"/>
        <item sd="0" m="1" x="188"/>
        <item sd="0" m="1" x="383"/>
        <item sd="0" m="1" x="270"/>
        <item sd="0" m="1" x="247"/>
        <item sd="0" m="1" x="402"/>
        <item sd="0" m="1" x="415"/>
        <item sd="0" m="1" x="538"/>
        <item sd="0" m="1" x="460"/>
        <item sd="0" m="1" x="530"/>
        <item sd="0" m="1" x="161"/>
        <item sd="0" m="1" x="87"/>
        <item sd="0" m="1" x="252"/>
        <item sd="0" m="1" x="461"/>
        <item sd="0" x="24"/>
        <item sd="0" m="1" x="242"/>
        <item sd="0" m="1" x="133"/>
        <item sd="0" x="59"/>
        <item sd="0" m="1" x="189"/>
        <item sd="0" m="1" x="288"/>
        <item sd="0" m="1" x="69"/>
        <item sd="0" m="1" x="273"/>
        <item sd="0" m="1" x="384"/>
        <item sd="0" x="34"/>
        <item sd="0" m="1" x="518"/>
        <item sd="0" m="1" x="526"/>
        <item sd="0" m="1" x="532"/>
        <item sd="0" m="1" x="143"/>
        <item sd="0" m="1" x="351"/>
        <item sd="0" m="1" x="216"/>
        <item sd="0" m="1" x="387"/>
        <item sd="0" m="1" x="215"/>
        <item sd="0" m="1" x="521"/>
        <item sd="0" m="1" x="426"/>
        <item sd="0" m="1" x="454"/>
        <item sd="0" m="1" x="500"/>
        <item sd="0" m="1" x="528"/>
        <item sd="0" m="1" x="529"/>
        <item sd="0" m="1" x="531"/>
        <item sd="0" x="40"/>
        <item sd="0" m="1" x="527"/>
        <item sd="0" m="1" x="190"/>
        <item sd="0" m="1" x="422"/>
        <item sd="0" m="1" x="424"/>
        <item sd="0" m="1" x="330"/>
        <item sd="0" x="54"/>
        <item sd="0" m="1" x="524"/>
        <item sd="0" m="1" x="525"/>
        <item sd="0" m="1" x="289"/>
        <item sd="0" x="13"/>
        <item sd="0" m="1" x="418"/>
        <item sd="0" m="1" x="136"/>
        <item sd="0" m="1" x="473"/>
        <item sd="0" m="1" x="519"/>
        <item sd="0" m="1" x="522"/>
        <item sd="0" m="1" x="227"/>
        <item sd="0" m="1" x="179"/>
        <item sd="0" m="1" x="275"/>
        <item sd="0" m="1" x="139"/>
        <item sd="0" m="1" x="192"/>
        <item sd="0" m="1" x="346"/>
        <item sd="0" m="1" x="169"/>
        <item sd="0" m="1" x="300"/>
        <item sd="0" m="1" x="520"/>
        <item sd="0" m="1" x="328"/>
        <item sd="0" m="1" x="322"/>
        <item sd="0" m="1" x="456"/>
        <item sd="0" m="1" x="174"/>
        <item sd="0" m="1" x="173"/>
        <item sd="0" m="1" x="326"/>
        <item sd="0" m="1" x="436"/>
        <item sd="0" m="1" x="101"/>
        <item sd="0" m="1" x="103"/>
        <item sd="0" m="1" x="186"/>
        <item sd="0" m="1" x="296"/>
        <item sd="0" m="1" x="336"/>
        <item sd="0" x="36"/>
        <item sd="0" m="1" x="79"/>
        <item sd="0" m="1" x="144"/>
        <item sd="0" m="1" x="250"/>
        <item sd="0" m="1" x="514"/>
        <item sd="0" m="1" x="341"/>
        <item sd="0" m="1" x="261"/>
        <item sd="0" m="1" x="512"/>
        <item sd="0" m="1" x="372"/>
        <item sd="0" m="1" x="509"/>
        <item sd="0" m="1" x="170"/>
        <item sd="0" m="1" x="267"/>
        <item sd="0" m="1" x="511"/>
        <item sd="0" m="1" x="160"/>
        <item sd="0" m="1" x="213"/>
        <item sd="0" m="1" x="214"/>
        <item sd="0" m="1" x="222"/>
        <item sd="0" m="1" x="63"/>
        <item sd="0" m="1" x="249"/>
        <item sd="0" m="1" x="90"/>
        <item sd="0" m="1" x="507"/>
        <item sd="0" m="1" x="496"/>
        <item sd="0" m="1" x="497"/>
        <item sd="0" m="1" x="498"/>
        <item sd="0" m="1" x="508"/>
        <item sd="0" m="1" x="298"/>
        <item sd="0" m="1" x="495"/>
        <item sd="0" m="1" x="501"/>
        <item sd="0" m="1" x="359"/>
        <item sd="0" m="1" x="506"/>
        <item sd="0" m="1" x="499"/>
        <item sd="0" m="1" x="502"/>
        <item sd="0" m="1" x="503"/>
        <item sd="0" m="1" x="504"/>
        <item sd="0" m="1" x="505"/>
        <item sd="0" m="1" x="476"/>
        <item sd="0" m="1" x="135"/>
        <item sd="0" m="1" x="342"/>
        <item sd="0" m="1" x="484"/>
        <item sd="0" m="1" x="477"/>
        <item sd="0" m="1" x="274"/>
        <item sd="0" m="1" x="482"/>
        <item sd="0" m="1" x="478"/>
        <item sd="0" m="1" x="483"/>
        <item sd="0" m="1" x="480"/>
        <item sd="0" m="1" x="481"/>
        <item sd="0" m="1" x="308"/>
        <item sd="0" m="1" x="211"/>
        <item sd="0" m="1" x="479"/>
        <item sd="0" m="1" x="66"/>
        <item sd="0" m="1" x="95"/>
        <item sd="0" m="1" x="468"/>
        <item sd="0" m="1" x="470"/>
        <item sd="0" x="8"/>
        <item sd="0" m="1" x="123"/>
        <item sd="0" x="4"/>
        <item sd="0" m="1" x="475"/>
        <item sd="0" m="1" x="369"/>
        <item sd="0" m="1" x="207"/>
        <item sd="0" m="1" x="256"/>
        <item sd="0" m="1" x="467"/>
        <item sd="0" m="1" x="78"/>
        <item sd="0" m="1" x="88"/>
        <item sd="0" m="1" x="465"/>
        <item sd="0" m="1" x="449"/>
        <item sd="0" m="1" x="450"/>
        <item sd="0" x="39"/>
        <item sd="0" m="1" x="167"/>
        <item sd="0" x="45"/>
        <item sd="0" m="1" x="107"/>
        <item sd="0" m="1" x="462"/>
        <item sd="0" m="1" x="354"/>
        <item sd="0" m="1" x="356"/>
        <item sd="0" m="1" x="134"/>
        <item sd="0" m="1" x="131"/>
        <item sd="0" x="17"/>
        <item sd="0" m="1" x="459"/>
        <item sd="0" m="1" x="199"/>
        <item sd="0" x="15"/>
        <item sd="0" m="1" x="458"/>
        <item sd="0" m="1" x="77"/>
        <item sd="0" m="1" x="122"/>
        <item sd="0" m="1" x="453"/>
        <item sd="0" m="1" x="172"/>
        <item sd="0" m="1" x="452"/>
        <item sd="0" m="1" x="437"/>
        <item sd="0" x="47"/>
        <item sd="0" m="1" x="360"/>
        <item sd="0" m="1" x="438"/>
        <item sd="0" m="1" x="405"/>
        <item sd="0" m="1" x="439"/>
        <item sd="0" m="1" x="440"/>
        <item sd="0" m="1" x="401"/>
        <item sd="0" m="1" x="132"/>
        <item sd="0" x="35"/>
        <item sd="0" m="1" x="178"/>
        <item sd="0" x="5"/>
        <item sd="0" x="7"/>
        <item sd="0" m="1" x="447"/>
        <item sd="0" x="44"/>
        <item sd="0" m="1" x="448"/>
        <item sd="0" m="1" x="196"/>
        <item sd="0" m="1" x="97"/>
        <item sd="0" m="1" x="444"/>
        <item sd="0" m="1" x="445"/>
        <item sd="0" m="1" x="234"/>
        <item sd="0" m="1" x="235"/>
        <item sd="0" m="1" x="419"/>
        <item sd="0" m="1" x="324"/>
        <item sd="0" m="1" x="162"/>
        <item sd="0" m="1" x="434"/>
        <item sd="0" m="1" x="441"/>
        <item sd="0" m="1" x="442"/>
        <item sd="0" m="1" x="443"/>
        <item sd="0" x="31"/>
        <item sd="0" m="1" x="246"/>
        <item sd="0" m="1" x="435"/>
        <item sd="0" m="1" x="337"/>
        <item sd="0" m="1" x="409"/>
        <item sd="0" m="1" x="412"/>
        <item sd="0" m="1" x="413"/>
        <item sd="0" m="1" x="432"/>
        <item sd="0" m="1" x="406"/>
        <item sd="0" m="1" x="417"/>
        <item sd="0" m="1" x="427"/>
        <item sd="0" m="1" x="429"/>
        <item sd="0" m="1" x="425"/>
        <item sd="0" m="1" x="428"/>
        <item sd="0" m="1" x="430"/>
        <item sd="0" m="1" x="431"/>
        <item sd="0" m="1" x="395"/>
        <item sd="0" m="1" x="280"/>
        <item sd="0" m="1" x="232"/>
        <item sd="0" x="12"/>
        <item sd="0" m="1" x="410"/>
        <item sd="0" m="1" x="244"/>
        <item sd="0" m="1" x="420"/>
        <item sd="0" m="1" x="403"/>
        <item sd="0" m="1" x="421"/>
        <item sd="0" m="1" x="414"/>
        <item sd="0" m="1" x="416"/>
        <item sd="0" m="1" x="153"/>
        <item sd="0" m="1" x="102"/>
        <item sd="0" m="1" x="353"/>
        <item sd="0" m="1" x="255"/>
        <item sd="0" m="1" x="257"/>
        <item sd="0" m="1" x="411"/>
        <item sd="0" m="1" x="73"/>
        <item sd="0" m="1" x="282"/>
        <item sd="0" m="1" x="357"/>
        <item sd="0" m="1" x="396"/>
        <item sd="0" x="46"/>
        <item sd="0" m="1" x="381"/>
        <item sd="0" m="1" x="382"/>
        <item sd="0" m="1" x="119"/>
        <item sd="0" m="1" x="349"/>
        <item sd="0" m="1" x="238"/>
        <item sd="0" m="1" x="350"/>
        <item sd="0" m="1" x="150"/>
        <item sd="0" m="1" x="111"/>
        <item sd="0" m="1" x="148"/>
        <item sd="0" m="1" x="193"/>
        <item sd="0" m="1" x="400"/>
        <item sd="0" m="1" x="310"/>
        <item sd="0" m="1" x="311"/>
        <item sd="0" m="1" x="312"/>
        <item sd="0" m="1" x="248"/>
        <item sd="0" m="1" x="229"/>
        <item sd="0" m="1" x="392"/>
        <item sd="0" m="1" x="388"/>
        <item sd="0" m="1" x="389"/>
        <item sd="0" m="1" x="390"/>
        <item sd="0" m="1" x="163"/>
        <item sd="0" m="1" x="264"/>
        <item sd="0" m="1" x="371"/>
        <item sd="0" m="1" x="364"/>
        <item sd="0" m="1" x="358"/>
        <item sd="0" m="1" x="74"/>
        <item sd="0" m="1" x="363"/>
        <item sd="0" x="60"/>
        <item sd="0" m="1" x="365"/>
        <item sd="0" m="1" x="367"/>
        <item sd="0" m="1" x="368"/>
        <item sd="0" m="1" x="370"/>
        <item sd="0" m="1" x="118"/>
        <item sd="0" m="1" x="165"/>
        <item sd="0" m="1" x="373"/>
        <item sd="0" m="1" x="374"/>
        <item sd="0" m="1" x="375"/>
        <item sd="0" m="1" x="376"/>
        <item sd="0" m="1" x="290"/>
        <item sd="0" m="1" x="195"/>
        <item sd="0" m="1" x="334"/>
        <item sd="0" m="1" x="168"/>
        <item sd="0" m="1" x="309"/>
        <item sd="0" m="1" x="157"/>
        <item sd="0" m="1" x="339"/>
        <item sd="0" m="1" x="313"/>
        <item sd="0" m="1" x="314"/>
        <item sd="0" m="1" x="315"/>
        <item sd="0" m="1" x="316"/>
        <item sd="0" m="1" x="317"/>
        <item sd="0" m="1" x="318"/>
        <item sd="0" m="1" x="319"/>
        <item sd="0" m="1" x="84"/>
        <item sd="0" m="1" x="340"/>
        <item sd="0" m="1" x="343"/>
        <item sd="0" m="1" x="344"/>
        <item sd="0" m="1" x="345"/>
        <item sd="0" m="1" x="106"/>
        <item sd="0" m="1" x="92"/>
        <item sd="0" m="1" x="338"/>
        <item sd="0" m="1" x="329"/>
        <item sd="0" m="1" x="306"/>
        <item sd="0" m="1" x="243"/>
        <item sd="0" m="1" x="120"/>
        <item sd="0" m="1" x="294"/>
        <item sd="0" m="1" x="283"/>
        <item sd="0" m="1" x="285"/>
        <item sd="0" m="1" x="320"/>
        <item sd="0" m="1" x="287"/>
        <item sd="0" m="1" x="299"/>
        <item sd="0" m="1" x="89"/>
        <item sd="0" m="1" x="206"/>
        <item sd="0" m="1" x="220"/>
        <item sd="0" m="1" x="269"/>
        <item sd="0" m="1" x="113"/>
        <item sd="0" m="1" x="223"/>
        <item sd="0" m="1" x="281"/>
        <item sd="0" m="1" x="241"/>
        <item sd="0" m="1" x="268"/>
        <item sd="0" m="1" x="217"/>
        <item sd="0" m="1" x="65"/>
        <item sd="0" m="1" x="237"/>
        <item sd="0" m="1" x="224"/>
        <item sd="0" m="1" x="225"/>
        <item sd="0" m="1" x="226"/>
        <item sd="0" m="1" x="228"/>
        <item sd="0" m="1" x="209"/>
        <item sd="0" m="1" x="208"/>
        <item sd="0" m="1" x="164"/>
        <item sd="0" x="0"/>
        <item sd="0" m="1" x="154"/>
        <item sd="0" m="1" x="155"/>
        <item sd="0" m="1" x="141"/>
        <item sd="0" m="1" x="182"/>
        <item sd="0" m="1" x="159"/>
        <item sd="0" m="1" x="147"/>
        <item sd="0" m="1" x="149"/>
        <item sd="0" m="1" x="127"/>
        <item sd="0" m="1" x="146"/>
        <item sd="0" m="1" x="145"/>
        <item sd="0" m="1" x="115"/>
        <item sd="0" m="1" x="67"/>
        <item sd="0" x="57"/>
        <item sd="0" m="1" x="121"/>
        <item sd="0" m="1" x="112"/>
        <item sd="0" m="1" x="108"/>
        <item sd="0" m="1" x="86"/>
        <item sd="0" x="23"/>
        <item sd="0" m="1" x="94"/>
        <item sd="0" x="58"/>
        <item sd="0" x="6"/>
        <item sd="0" x="32"/>
        <item sd="0" x="55"/>
        <item sd="0" x="21"/>
        <item sd="0" x="22"/>
        <item sd="0" x="50"/>
        <item sd="0" x="56"/>
        <item t="default" sd="0"/>
      </items>
    </pivotField>
    <pivotField showAll="0">
      <items count="40">
        <item sd="0" x="4"/>
        <item sd="0" x="23"/>
        <item sd="0" x="19"/>
        <item sd="0" x="15"/>
        <item sd="0" x="25"/>
        <item sd="0" x="24"/>
        <item sd="0" x="17"/>
        <item sd="0" x="16"/>
        <item sd="0" x="36"/>
        <item sd="0" x="27"/>
        <item sd="0" x="32"/>
        <item sd="0" x="20"/>
        <item sd="0" x="34"/>
        <item sd="0" x="6"/>
        <item sd="0" x="3"/>
        <item sd="0" x="21"/>
        <item sd="0" x="22"/>
        <item sd="0" x="2"/>
        <item sd="0" x="31"/>
        <item sd="0" x="37"/>
        <item sd="0" x="5"/>
        <item sd="0" x="30"/>
        <item sd="0" x="10"/>
        <item sd="0" x="12"/>
        <item sd="0" x="28"/>
        <item sd="0" x="13"/>
        <item sd="0" x="11"/>
        <item sd="0" x="14"/>
        <item sd="0" x="33"/>
        <item sd="0" x="1"/>
        <item sd="0" x="9"/>
        <item sd="0" x="35"/>
        <item sd="0" x="29"/>
        <item sd="0" x="26"/>
        <item sd="0" x="0"/>
        <item sd="0" x="7"/>
        <item sd="0" x="18"/>
        <item sd="0" x="8"/>
        <item h="1" sd="0" x="38"/>
        <item t="default" sd="0"/>
      </items>
    </pivotField>
    <pivotField showAll="0">
      <items count="3">
        <item sd="0" x="1"/>
        <item h="1" sd="0" x="0"/>
        <item t="default" sd="0"/>
      </items>
    </pivotField>
    <pivotField dataField="1" showAll="0">
      <items count="41">
        <item sd="0" x="4"/>
        <item sd="0" x="24"/>
        <item sd="0" x="20"/>
        <item sd="0" x="16"/>
        <item sd="0" x="26"/>
        <item sd="0" x="25"/>
        <item sd="0" x="18"/>
        <item sd="0" x="17"/>
        <item sd="0" x="37"/>
        <item sd="0" x="28"/>
        <item sd="0" x="33"/>
        <item sd="0" x="5"/>
        <item sd="0" x="21"/>
        <item sd="0" x="35"/>
        <item sd="0" x="7"/>
        <item sd="0" x="3"/>
        <item sd="0" x="22"/>
        <item sd="0" x="23"/>
        <item sd="0" x="2"/>
        <item sd="0" x="32"/>
        <item sd="0" x="38"/>
        <item sd="0" x="6"/>
        <item sd="0" x="31"/>
        <item sd="0" x="11"/>
        <item sd="0" x="13"/>
        <item sd="0" x="29"/>
        <item sd="0" x="14"/>
        <item sd="0" x="12"/>
        <item sd="0" x="15"/>
        <item sd="0" x="34"/>
        <item sd="0" x="1"/>
        <item sd="0" x="10"/>
        <item sd="0" x="36"/>
        <item sd="0" x="30"/>
        <item sd="0" x="27"/>
        <item sd="0" x="0"/>
        <item sd="0" x="8"/>
        <item sd="0" x="19"/>
        <item sd="0" x="9"/>
        <item h="1" sd="0" x="39"/>
        <item t="default" sd="0"/>
      </items>
    </pivotField>
    <pivotField axis="axisCol" showAll="0">
      <items count="400">
        <item m="1" x="370"/>
        <item m="1" x="371"/>
        <item m="1" x="396"/>
        <item m="1" x="397"/>
        <item m="1" x="378"/>
        <item m="1" x="384"/>
        <item m="1" x="381"/>
        <item m="1" x="387"/>
        <item m="1" x="388"/>
        <item m="1" x="386"/>
        <item m="1" x="380"/>
        <item m="1" x="374"/>
        <item m="1" x="375"/>
        <item m="1" x="365"/>
        <item m="1" x="398"/>
        <item m="1" x="379"/>
        <item m="1" x="366"/>
        <item m="1" x="363"/>
        <item m="1" x="357"/>
        <item m="1" x="328"/>
        <item m="1" x="183"/>
        <item m="1" x="348"/>
        <item m="1" x="331"/>
        <item m="1" x="310"/>
        <item h="1" x="0"/>
        <item m="1" x="50"/>
        <item m="1" x="292"/>
        <item m="1" x="389"/>
        <item m="1" x="390"/>
        <item m="1" x="325"/>
        <item m="1" x="391"/>
        <item m="1" x="392"/>
        <item m="1" x="393"/>
        <item m="1" x="276"/>
        <item m="1" x="369"/>
        <item m="1" x="320"/>
        <item m="1" x="344"/>
        <item m="1" x="263"/>
        <item m="1" x="394"/>
        <item m="1" x="395"/>
        <item m="1" x="376"/>
        <item m="1" x="385"/>
        <item m="1" x="362"/>
        <item m="1" x="383"/>
        <item m="1" x="367"/>
        <item m="1" x="377"/>
        <item m="1" x="382"/>
        <item m="1" x="354"/>
        <item m="1" x="143"/>
        <item m="1" x="373"/>
        <item m="1" x="368"/>
        <item m="1" x="144"/>
        <item m="1" x="364"/>
        <item m="1" x="340"/>
        <item m="1" x="145"/>
        <item m="1" x="336"/>
        <item m="1" x="361"/>
        <item m="1" x="356"/>
        <item m="1" x="350"/>
        <item m="1" x="322"/>
        <item m="1" x="372"/>
        <item m="1" x="300"/>
        <item m="1" x="306"/>
        <item m="1" x="286"/>
        <item m="1" x="359"/>
        <item m="1" x="349"/>
        <item m="1" x="146"/>
        <item m="1" x="351"/>
        <item m="1" x="360"/>
        <item m="1" x="355"/>
        <item m="1" x="358"/>
        <item m="1" x="334"/>
        <item m="1" x="353"/>
        <item m="1" x="352"/>
        <item m="1" x="335"/>
        <item m="1" x="342"/>
        <item m="1" x="339"/>
        <item m="1" x="337"/>
        <item m="1" x="347"/>
        <item m="1" x="343"/>
        <item m="1" x="332"/>
        <item m="1" x="311"/>
        <item m="1" x="308"/>
        <item m="1" x="345"/>
        <item m="1" x="341"/>
        <item m="1" x="323"/>
        <item m="1" x="301"/>
        <item m="1" x="294"/>
        <item m="1" x="346"/>
        <item m="1" x="317"/>
        <item m="1" x="173"/>
        <item m="1" x="329"/>
        <item m="1" x="338"/>
        <item m="1" x="333"/>
        <item m="1" x="327"/>
        <item m="1" x="299"/>
        <item m="1" x="330"/>
        <item m="1" x="303"/>
        <item m="1" x="318"/>
        <item m="1" x="154"/>
        <item m="1" x="304"/>
        <item m="1" x="274"/>
        <item m="1" x="296"/>
        <item m="1" x="312"/>
        <item m="1" x="319"/>
        <item m="1" x="305"/>
        <item m="1" x="324"/>
        <item m="1" x="321"/>
        <item m="1" x="326"/>
        <item m="1" x="165"/>
        <item m="1" x="316"/>
        <item m="1" x="295"/>
        <item m="1" x="309"/>
        <item m="1" x="314"/>
        <item m="1" x="315"/>
        <item m="1" x="307"/>
        <item m="1" x="313"/>
        <item m="1" x="302"/>
        <item m="1" x="287"/>
        <item m="1" x="177"/>
        <item m="1" x="293"/>
        <item m="1" x="297"/>
        <item m="1" x="290"/>
        <item m="1" x="298"/>
        <item m="1" x="281"/>
        <item m="1" x="280"/>
        <item m="1" x="266"/>
        <item m="1" x="275"/>
        <item m="1" x="185"/>
        <item m="1" x="291"/>
        <item m="1" x="285"/>
        <item m="1" x="289"/>
        <item m="1" x="278"/>
        <item m="1" x="284"/>
        <item m="1" x="178"/>
        <item m="1" x="282"/>
        <item m="1" x="288"/>
        <item m="1" x="188"/>
        <item m="1" x="260"/>
        <item m="1" x="283"/>
        <item m="1" x="187"/>
        <item m="1" x="277"/>
        <item m="1" x="272"/>
        <item m="1" x="261"/>
        <item m="1" x="253"/>
        <item m="1" x="279"/>
        <item m="1" x="244"/>
        <item m="1" x="268"/>
        <item m="1" x="273"/>
        <item m="1" x="267"/>
        <item m="1" x="269"/>
        <item m="1" x="271"/>
        <item m="1" x="270"/>
        <item m="1" x="255"/>
        <item m="1" x="250"/>
        <item m="1" x="264"/>
        <item m="1" x="265"/>
        <item m="1" x="262"/>
        <item m="1" x="247"/>
        <item m="1" x="252"/>
        <item m="1" x="245"/>
        <item m="1" x="259"/>
        <item m="1" x="258"/>
        <item m="1" x="257"/>
        <item m="1" x="251"/>
        <item m="1" x="256"/>
        <item m="1" x="221"/>
        <item m="1" x="235"/>
        <item m="1" x="227"/>
        <item m="1" x="181"/>
        <item m="1" x="248"/>
        <item m="1" x="254"/>
        <item m="1" x="243"/>
        <item m="1" x="246"/>
        <item m="1" x="176"/>
        <item m="1" x="237"/>
        <item m="1" x="238"/>
        <item m="1" x="236"/>
        <item m="1" x="249"/>
        <item m="1" x="174"/>
        <item m="1" x="229"/>
        <item m="1" x="242"/>
        <item m="1" x="239"/>
        <item m="1" x="232"/>
        <item m="1" x="212"/>
        <item m="1" x="215"/>
        <item m="1" x="241"/>
        <item m="1" x="240"/>
        <item m="1" x="226"/>
        <item m="1" x="231"/>
        <item m="1" x="203"/>
        <item m="1" x="219"/>
        <item m="1" x="208"/>
        <item m="1" x="220"/>
        <item m="1" x="140"/>
        <item m="1" x="234"/>
        <item m="1" x="233"/>
        <item m="1" x="230"/>
        <item m="1" x="223"/>
        <item m="1" x="137"/>
        <item m="1" x="46"/>
        <item m="1" x="217"/>
        <item m="1" x="206"/>
        <item m="1" x="182"/>
        <item m="1" x="213"/>
        <item m="1" x="228"/>
        <item m="1" x="225"/>
        <item m="1" x="224"/>
        <item m="1" x="130"/>
        <item m="1" x="96"/>
        <item m="1" x="77"/>
        <item m="1" x="68"/>
        <item m="1" x="141"/>
        <item m="1" x="134"/>
        <item m="1" x="216"/>
        <item m="1" x="209"/>
        <item m="1" x="162"/>
        <item m="1" x="95"/>
        <item m="1" x="205"/>
        <item m="1" x="135"/>
        <item m="1" x="127"/>
        <item m="1" x="86"/>
        <item m="1" x="222"/>
        <item m="1" x="214"/>
        <item m="1" x="60"/>
        <item m="1" x="218"/>
        <item m="1" x="211"/>
        <item m="1" x="210"/>
        <item m="1" x="207"/>
        <item m="1" x="204"/>
        <item m="1" x="138"/>
        <item m="1" x="119"/>
        <item m="1" x="92"/>
        <item m="1" x="128"/>
        <item m="1" x="139"/>
        <item m="1" x="123"/>
        <item m="1" x="142"/>
        <item m="1" x="147"/>
        <item m="1" x="148"/>
        <item m="1" x="149"/>
        <item m="1" x="150"/>
        <item m="1" x="151"/>
        <item m="1" x="152"/>
        <item m="1" x="153"/>
        <item m="1" x="155"/>
        <item m="1" x="156"/>
        <item m="1" x="157"/>
        <item m="1" x="158"/>
        <item m="1" x="159"/>
        <item m="1" x="160"/>
        <item m="1" x="161"/>
        <item m="1" x="163"/>
        <item m="1" x="164"/>
        <item m="1" x="166"/>
        <item m="1" x="167"/>
        <item m="1" x="168"/>
        <item m="1" x="169"/>
        <item m="1" x="170"/>
        <item m="1" x="171"/>
        <item m="1" x="172"/>
        <item m="1" x="175"/>
        <item m="1" x="179"/>
        <item m="1" x="180"/>
        <item m="1" x="184"/>
        <item m="1" x="186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24"/>
        <item m="1" x="133"/>
        <item m="1" x="104"/>
        <item m="1" x="136"/>
        <item m="1" x="131"/>
        <item m="1" x="125"/>
        <item m="1" x="126"/>
        <item m="1" x="132"/>
        <item m="1" x="112"/>
        <item m="1" x="129"/>
        <item m="1" x="110"/>
        <item m="1" x="111"/>
        <item m="1" x="117"/>
        <item m="1" x="113"/>
        <item m="1" x="56"/>
        <item m="1" x="122"/>
        <item m="1" x="120"/>
        <item m="1" x="97"/>
        <item m="1" x="108"/>
        <item m="1" x="87"/>
        <item m="1" x="67"/>
        <item m="1" x="106"/>
        <item m="1" x="121"/>
        <item m="1" x="118"/>
        <item m="1" x="105"/>
        <item m="1" x="85"/>
        <item m="1" x="100"/>
        <item m="1" x="107"/>
        <item m="1" x="94"/>
        <item m="1" x="103"/>
        <item m="1" x="99"/>
        <item m="1" x="115"/>
        <item m="1" x="91"/>
        <item m="1" x="116"/>
        <item m="1" x="114"/>
        <item m="1" x="109"/>
        <item m="1" x="102"/>
        <item m="1" x="101"/>
        <item m="1" x="98"/>
        <item m="1" x="90"/>
        <item m="1" x="89"/>
        <item m="1" x="93"/>
        <item m="1" x="65"/>
        <item m="1" x="83"/>
        <item m="1" x="79"/>
        <item m="1" x="72"/>
        <item m="1" x="39"/>
        <item m="1" x="88"/>
        <item m="1" x="64"/>
        <item m="1" x="84"/>
        <item m="1" x="43"/>
        <item m="1" x="80"/>
        <item m="1" x="82"/>
        <item m="1" x="78"/>
        <item m="1" x="76"/>
        <item m="1" x="73"/>
        <item m="1" x="54"/>
        <item m="1" x="58"/>
        <item m="1" x="81"/>
        <item m="1" x="74"/>
        <item m="1" x="34"/>
        <item m="1" x="57"/>
        <item m="1" x="75"/>
        <item m="1" x="66"/>
        <item m="1" x="41"/>
        <item m="1" x="44"/>
        <item m="1" x="38"/>
        <item m="1" x="49"/>
        <item m="1" x="48"/>
        <item m="1" x="26"/>
        <item m="1" x="59"/>
        <item m="1" x="70"/>
        <item m="1" x="71"/>
        <item m="1" x="31"/>
        <item m="1" x="69"/>
        <item m="1" x="42"/>
        <item m="1" x="37"/>
        <item m="1" x="25"/>
        <item m="1" x="40"/>
        <item m="1" x="51"/>
        <item m="1" x="52"/>
        <item m="1" x="53"/>
        <item m="1" x="55"/>
        <item m="1" x="61"/>
        <item m="1" x="62"/>
        <item m="1" x="63"/>
        <item m="1" x="21"/>
        <item m="1" x="24"/>
        <item m="1" x="45"/>
        <item m="1" x="47"/>
        <item m="1" x="23"/>
        <item m="1" x="13"/>
        <item m="1" x="36"/>
        <item m="1" x="27"/>
        <item x="2"/>
        <item m="1" x="35"/>
        <item m="1" x="6"/>
        <item m="1" x="30"/>
        <item x="1"/>
        <item m="1" x="29"/>
        <item m="1" x="32"/>
        <item m="1" x="33"/>
        <item m="1" x="28"/>
        <item m="1" x="22"/>
        <item m="1" x="8"/>
        <item m="1" x="12"/>
        <item x="3"/>
        <item m="1" x="17"/>
        <item m="1" x="19"/>
        <item m="1" x="18"/>
        <item m="1" x="20"/>
        <item m="1" x="11"/>
        <item m="1" x="14"/>
        <item m="1" x="15"/>
        <item m="1" x="16"/>
        <item m="1" x="9"/>
        <item m="1" x="10"/>
        <item x="4"/>
        <item m="1" x="7"/>
        <item m="1" x="5"/>
        <item t="default"/>
      </items>
    </pivotField>
    <pivotField showAll="0">
      <items count="38">
        <item sd="0" x="17"/>
        <item sd="0" x="3"/>
        <item sd="0" x="34"/>
        <item sd="0" x="4"/>
        <item sd="0" x="15"/>
        <item sd="0" x="14"/>
        <item sd="0" x="0"/>
        <item sd="0" x="22"/>
        <item sd="0" x="21"/>
        <item sd="0" x="16"/>
        <item sd="0" x="1"/>
        <item sd="0" x="25"/>
        <item sd="0" x="5"/>
        <item sd="0" x="29"/>
        <item sd="0" x="8"/>
        <item sd="0" x="6"/>
        <item sd="0" x="28"/>
        <item sd="0" x="33"/>
        <item sd="0" x="35"/>
        <item sd="0" x="7"/>
        <item sd="0" x="32"/>
        <item sd="0" x="36"/>
        <item sd="0" x="9"/>
        <item sd="0" x="10"/>
        <item sd="0" x="23"/>
        <item sd="0" x="26"/>
        <item sd="0" x="30"/>
        <item sd="0" x="18"/>
        <item sd="0" x="31"/>
        <item sd="0" x="19"/>
        <item sd="0" x="11"/>
        <item sd="0" x="24"/>
        <item sd="0" x="12"/>
        <item sd="0" x="13"/>
        <item sd="0" x="20"/>
        <item sd="0" x="27"/>
        <item h="1" sd="0" x="2"/>
        <item t="default" sd="0"/>
      </items>
    </pivotField>
    <pivotField showAll="0">
      <items count="11">
        <item sd="0" x="2"/>
        <item sd="0" x="3"/>
        <item sd="0" x="4"/>
        <item sd="0" x="7"/>
        <item sd="0" x="1"/>
        <item sd="0" x="9"/>
        <item sd="0" x="8"/>
        <item sd="0" x="5"/>
        <item sd="0" x="0"/>
        <item h="1" sd="0" x="6"/>
        <item t="default" sd="0"/>
      </items>
    </pivotField>
    <pivotField showAll="0">
      <items count="4">
        <item sd="0" x="2"/>
        <item sd="0" x="0"/>
        <item h="1" sd="0" x="1"/>
        <item t="default" sd="0"/>
      </items>
    </pivotField>
    <pivotField showAll="0">
      <items count="4">
        <item sd="0" x="2"/>
        <item sd="0" x="0"/>
        <item h="1" sd="0" x="1"/>
        <item t="default" sd="0"/>
      </items>
    </pivotField>
    <pivotField axis="axisRow" showAll="0">
      <items count="150">
        <item h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x="0"/>
        <item x="7"/>
        <item x="2"/>
        <item x="25"/>
        <item x="22"/>
        <item x="23"/>
        <item x="12"/>
        <item x="19"/>
        <item x="4"/>
        <item x="5"/>
        <item x="6"/>
        <item x="3"/>
        <item x="10"/>
        <item x="8"/>
        <item x="14"/>
        <item x="15"/>
        <item x="13"/>
        <item x="21"/>
        <item x="1"/>
        <item x="11"/>
        <item x="18"/>
        <item x="16"/>
        <item x="17"/>
        <item x="9"/>
        <item x="20"/>
        <item x="24"/>
        <item x="26"/>
        <item t="default"/>
      </items>
    </pivotField>
    <pivotField showAll="0">
      <items count="4">
        <item sd="0" x="1"/>
        <item sd="0" x="0"/>
        <item h="1" sd="0" x="2"/>
        <item t="default" sd="0"/>
      </items>
    </pivotField>
    <pivotField showAll="0">
      <items count="4">
        <item sd="0" x="0"/>
        <item sd="0" x="1"/>
        <item h="1" sd="0" x="2"/>
        <item t="default" sd="0"/>
      </items>
    </pivotField>
    <pivotField showAll="0">
      <items count="4">
        <item sd="0" x="1"/>
        <item sd="0" x="0"/>
        <item h="1" sd="0" x="2"/>
        <item t="default" sd="0"/>
      </items>
    </pivotField>
    <pivotField showAll="0">
      <items count="31">
        <item sd="0" x="21"/>
        <item sd="0" x="1"/>
        <item sd="0" x="8"/>
        <item sd="0" x="13"/>
        <item sd="0" x="24"/>
        <item sd="0" x="15"/>
        <item sd="0" x="0"/>
        <item sd="0" x="4"/>
        <item sd="0" x="10"/>
        <item sd="0" x="9"/>
        <item sd="0" x="19"/>
        <item sd="0" x="22"/>
        <item sd="0" x="7"/>
        <item sd="0" x="27"/>
        <item sd="0" x="12"/>
        <item sd="0" x="3"/>
        <item sd="0" x="17"/>
        <item sd="0" x="23"/>
        <item sd="0" x="20"/>
        <item sd="0" x="18"/>
        <item sd="0" x="25"/>
        <item sd="0" x="14"/>
        <item sd="0" x="16"/>
        <item sd="0" x="26"/>
        <item sd="0" x="29"/>
        <item sd="0" x="5"/>
        <item sd="0" x="2"/>
        <item sd="0" x="11"/>
        <item sd="0" x="6"/>
        <item h="1" sd="0" x="28"/>
        <item t="default" sd="0"/>
      </items>
    </pivotField>
    <pivotField showAll="0">
      <items count="32">
        <item sd="0" x="21"/>
        <item sd="0" x="4"/>
        <item sd="0" x="15"/>
        <item sd="0" x="19"/>
        <item sd="0" x="1"/>
        <item sd="0" x="28"/>
        <item sd="0" x="27"/>
        <item sd="0" x="3"/>
        <item sd="0" x="0"/>
        <item sd="0" x="10"/>
        <item sd="0" x="24"/>
        <item sd="0" x="14"/>
        <item sd="0" x="30"/>
        <item sd="0" x="16"/>
        <item sd="0" x="18"/>
        <item sd="0" x="25"/>
        <item sd="0" x="13"/>
        <item sd="0" x="7"/>
        <item sd="0" x="5"/>
        <item sd="0" x="11"/>
        <item sd="0" x="17"/>
        <item sd="0" x="12"/>
        <item sd="0" x="20"/>
        <item sd="0" x="6"/>
        <item sd="0" x="8"/>
        <item sd="0" x="23"/>
        <item sd="0" x="2"/>
        <item sd="0" x="22"/>
        <item sd="0" x="9"/>
        <item sd="0" x="26"/>
        <item h="1" sd="0" x="29"/>
        <item t="default" sd="0"/>
      </items>
    </pivotField>
    <pivotField showAll="0">
      <items count="5">
        <item sd="0" x="1"/>
        <item sd="0" x="0"/>
        <item sd="0" x="2"/>
        <item h="1" sd="0" x="3"/>
        <item t="default" sd="0"/>
      </items>
    </pivotField>
    <pivotField showAll="0">
      <items count="12">
        <item sd="0" x="6"/>
        <item sd="0" x="9"/>
        <item sd="0" x="3"/>
        <item sd="0" x="1"/>
        <item sd="0" x="0"/>
        <item sd="0" x="5"/>
        <item sd="0" x="7"/>
        <item sd="0" x="2"/>
        <item sd="0" x="8"/>
        <item sd="0" x="4"/>
        <item h="1" sd="0" x="10"/>
        <item t="default" sd="0"/>
      </items>
    </pivotField>
    <pivotField showAll="0">
      <items count="26">
        <item sd="0" x="23"/>
        <item sd="0" x="18"/>
        <item sd="0" x="4"/>
        <item sd="0" x="9"/>
        <item sd="0" x="5"/>
        <item sd="0" x="2"/>
        <item sd="0" x="1"/>
        <item sd="0" x="12"/>
        <item sd="0" x="15"/>
        <item sd="0" x="13"/>
        <item sd="0" x="20"/>
        <item sd="0" x="21"/>
        <item sd="0" x="17"/>
        <item sd="0" x="19"/>
        <item sd="0" x="8"/>
        <item sd="0" x="11"/>
        <item sd="0" x="16"/>
        <item sd="0" x="10"/>
        <item sd="0" x="3"/>
        <item sd="0" x="6"/>
        <item sd="0" x="7"/>
        <item sd="0" x="14"/>
        <item sd="0" x="0"/>
        <item sd="0" x="22"/>
        <item h="1" sd="0" x="24"/>
        <item t="default" sd="0"/>
      </items>
    </pivotField>
    <pivotField showAll="0">
      <items count="26">
        <item sd="0" x="23"/>
        <item sd="0" x="20"/>
        <item sd="0" x="18"/>
        <item sd="0" x="21"/>
        <item sd="0" x="12"/>
        <item sd="0" x="17"/>
        <item sd="0" x="8"/>
        <item sd="0" x="15"/>
        <item sd="0" x="11"/>
        <item sd="0" x="19"/>
        <item sd="0" x="2"/>
        <item sd="0" x="4"/>
        <item sd="0" x="9"/>
        <item sd="0" x="16"/>
        <item sd="0" x="10"/>
        <item sd="0" x="3"/>
        <item sd="0" x="1"/>
        <item sd="0" x="13"/>
        <item sd="0" x="5"/>
        <item sd="0" x="6"/>
        <item sd="0" x="14"/>
        <item sd="0" x="0"/>
        <item sd="0" x="22"/>
        <item sd="0" x="7"/>
        <item h="1" sd="0" x="24"/>
        <item t="default" sd="0"/>
      </items>
    </pivotField>
    <pivotField showAll="0">
      <items count="12">
        <item sd="0" x="4"/>
        <item sd="0" x="6"/>
        <item sd="0" x="9"/>
        <item sd="0" x="3"/>
        <item sd="0" x="1"/>
        <item sd="0" x="0"/>
        <item sd="0" x="5"/>
        <item sd="0" x="7"/>
        <item sd="0" x="2"/>
        <item sd="0" x="8"/>
        <item h="1" sd="0" x="10"/>
        <item t="default" sd="0"/>
      </items>
    </pivotField>
    <pivotField showAll="0">
      <items count="5">
        <item sd="0" x="1"/>
        <item sd="0" x="0"/>
        <item sd="0" x="2"/>
        <item h="1" sd="0" x="3"/>
        <item t="default" sd="0"/>
      </items>
    </pivotField>
    <pivotField showAll="0">
      <items count="5">
        <item sd="0" x="1"/>
        <item sd="0" x="0"/>
        <item sd="0" x="2"/>
        <item h="1" sd="0" x="3"/>
        <item t="default" sd="0"/>
      </items>
    </pivotField>
    <pivotField showAll="0">
      <items count="5">
        <item sd="0" x="0"/>
        <item sd="0" x="1"/>
        <item sd="0" x="2"/>
        <item h="1" sd="0" x="3"/>
        <item t="default" sd="0"/>
      </items>
    </pivotField>
    <pivotField showAll="0">
      <items count="5">
        <item sd="0" x="2"/>
        <item sd="0" x="0"/>
        <item sd="0" x="1"/>
        <item h="1" sd="0" x="3"/>
        <item t="default" sd="0"/>
      </items>
    </pivotField>
    <pivotField showAll="0">
      <items count="11">
        <item sd="0" x="1"/>
        <item sd="0" x="2"/>
        <item sd="0" x="3"/>
        <item sd="0" x="8"/>
        <item sd="0" x="9"/>
        <item sd="0" x="7"/>
        <item sd="0" x="4"/>
        <item sd="0" x="5"/>
        <item sd="0" x="0"/>
        <item h="1" sd="0" x="6"/>
        <item t="default" sd="0"/>
      </items>
    </pivotField>
    <pivotField showAll="0">
      <items count="2">
        <item sd="0" x="0"/>
        <item t="default" sd="0"/>
      </items>
    </pivotField>
    <pivotField showAll="0">
      <items count="62">
        <item sd="0" x="52"/>
        <item sd="0" x="44"/>
        <item sd="0" x="45"/>
        <item sd="0" x="28"/>
        <item sd="0" x="31"/>
        <item sd="0" x="29"/>
        <item sd="0" x="27"/>
        <item sd="0" x="55"/>
        <item sd="0" x="56"/>
        <item sd="0" x="30"/>
        <item sd="0" x="47"/>
        <item sd="0" x="48"/>
        <item sd="0" x="50"/>
        <item sd="0" x="49"/>
        <item sd="0" x="13"/>
        <item sd="0" x="37"/>
        <item sd="0" x="39"/>
        <item sd="0" x="38"/>
        <item sd="0" x="14"/>
        <item sd="0" x="15"/>
        <item sd="0" x="16"/>
        <item sd="0" x="18"/>
        <item sd="0" x="17"/>
        <item sd="0" x="32"/>
        <item sd="0" x="33"/>
        <item sd="0" x="25"/>
        <item sd="0" x="35"/>
        <item sd="0" x="36"/>
        <item sd="0" x="46"/>
        <item sd="0" x="51"/>
        <item sd="0" x="19"/>
        <item sd="0" x="2"/>
        <item sd="0" x="20"/>
        <item sd="0" x="26"/>
        <item sd="0" x="21"/>
        <item sd="0" x="22"/>
        <item sd="0" x="34"/>
        <item sd="0" x="23"/>
        <item sd="0" x="1"/>
        <item sd="0" x="53"/>
        <item sd="0" x="54"/>
        <item sd="0" x="40"/>
        <item sd="0" x="41"/>
        <item sd="0" x="43"/>
        <item sd="0" x="42"/>
        <item sd="0" x="3"/>
        <item sd="0" x="57"/>
        <item sd="0" x="58"/>
        <item sd="0" x="59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24"/>
        <item h="1" sd="0" x="60"/>
        <item t="default" sd="0"/>
      </items>
    </pivotField>
    <pivotField showAll="0">
      <items count="12">
        <item sd="0" x="9"/>
        <item sd="0" x="8"/>
        <item sd="0" x="10"/>
        <item sd="0" x="5"/>
        <item sd="0" x="7"/>
        <item sd="0" x="3"/>
        <item sd="0" x="0"/>
        <item sd="0" x="2"/>
        <item sd="0" x="4"/>
        <item sd="0" x="6"/>
        <item h="1" sd="0" x="1"/>
        <item t="default" sd="0"/>
      </items>
    </pivotField>
    <pivotField showAll="0">
      <items count="5">
        <item sd="0" x="2"/>
        <item sd="0" x="0"/>
        <item sd="0" x="1"/>
        <item h="1" sd="0" x="3"/>
        <item t="default" sd="0"/>
      </items>
    </pivotField>
    <pivotField showAll="0">
      <items count="4">
        <item sd="0" x="1"/>
        <item sd="0" x="0"/>
        <item h="1" sd="0" x="2"/>
        <item t="default" sd="0"/>
      </items>
    </pivotField>
    <pivotField showAll="0">
      <items count="4">
        <item sd="0" x="1"/>
        <item sd="0" x="2"/>
        <item h="1" sd="0" x="0"/>
        <item t="default" sd="0"/>
      </items>
    </pivotField>
    <pivotField showAll="0">
      <items count="3">
        <item sd="0" x="1"/>
        <item h="1" sd="0" x="0"/>
        <item t="default" sd="0"/>
      </items>
    </pivotField>
    <pivotField showAll="0">
      <items count="6">
        <item sd="0" x="4"/>
        <item sd="0" x="1"/>
        <item sd="0" x="2"/>
        <item sd="0" x="3"/>
        <item h="1" sd="0" x="0"/>
        <item t="default" sd="0"/>
      </items>
    </pivotField>
    <pivotField showAll="0">
      <items count="1472">
        <item sd="0" m="1" x="1357"/>
        <item sd="0" m="1" x="1404"/>
        <item sd="0" m="1" x="1346"/>
        <item sd="0" m="1" x="1368"/>
        <item sd="0" m="1" x="1109"/>
        <item sd="0" m="1" x="1429"/>
        <item sd="0" m="1" x="1131"/>
        <item sd="0" m="1" x="938"/>
        <item sd="0" m="1" x="1430"/>
        <item sd="0" m="1" x="1213"/>
        <item sd="0" m="1" x="1036"/>
        <item sd="0" m="1" x="1205"/>
        <item sd="0" m="1" x="1431"/>
        <item sd="0" m="1" x="1193"/>
        <item sd="0" m="1" x="1178"/>
        <item sd="0" m="1" x="1428"/>
        <item sd="0" m="1" x="1114"/>
        <item sd="0" m="1" x="1270"/>
        <item sd="0" m="1" x="1426"/>
        <item sd="0" m="1" x="1115"/>
        <item sd="0" m="1" x="1045"/>
        <item sd="0" m="1" x="1216"/>
        <item sd="0" m="1" x="1311"/>
        <item sd="0" m="1" x="1158"/>
        <item sd="0" m="1" x="1265"/>
        <item sd="0" m="1" x="1159"/>
        <item sd="0" m="1" x="1206"/>
        <item sd="0" m="1" x="1210"/>
        <item sd="0" m="1" x="1138"/>
        <item sd="0" m="1" x="1425"/>
        <item sd="0" m="1" x="1187"/>
        <item sd="0" m="1" x="1052"/>
        <item sd="0" m="1" x="1301"/>
        <item sd="0" m="1" x="1395"/>
        <item sd="0" m="1" x="1191"/>
        <item sd="0" m="1" x="1076"/>
        <item sd="0" m="1" x="1042"/>
        <item sd="0" m="1" x="1047"/>
        <item sd="0" m="1" x="1161"/>
        <item sd="0" m="1" x="990"/>
        <item sd="0" m="1" x="1065"/>
        <item sd="0" m="1" x="991"/>
        <item sd="0" m="1" x="1344"/>
        <item sd="0" m="1" x="1421"/>
        <item sd="0" m="1" x="992"/>
        <item sd="0" m="1" x="1048"/>
        <item sd="0" m="1" x="1312"/>
        <item sd="0" m="1" x="1416"/>
        <item sd="0" m="1" x="993"/>
        <item sd="0" m="1" x="1056"/>
        <item sd="0" m="1" x="1289"/>
        <item sd="0" m="1" x="1417"/>
        <item sd="0" m="1" x="1091"/>
        <item sd="0" m="1" x="1040"/>
        <item sd="0" m="1" x="1053"/>
        <item sd="0" m="1" x="1298"/>
        <item sd="0" m="1" x="1422"/>
        <item sd="0" m="1" x="994"/>
        <item sd="0" m="1" x="1030"/>
        <item sd="0" m="1" x="1029"/>
        <item sd="0" m="1" x="1299"/>
        <item sd="0" m="1" x="995"/>
        <item sd="0" m="1" x="1057"/>
        <item sd="0" m="1" x="1331"/>
        <item sd="0" m="1" x="1424"/>
        <item sd="0" m="1" x="1186"/>
        <item sd="0" m="1" x="1245"/>
        <item sd="0" m="1" x="1423"/>
        <item sd="0" m="1" x="1163"/>
        <item sd="0" m="1" x="1396"/>
        <item sd="0" m="1" x="1401"/>
        <item sd="0" m="1" x="1146"/>
        <item sd="0" m="1" x="1418"/>
        <item sd="0" m="1" x="1164"/>
        <item sd="0" m="1" x="1199"/>
        <item sd="0" m="1" x="1086"/>
        <item sd="0" m="1" x="927"/>
        <item sd="0" m="1" x="1282"/>
        <item sd="0" m="1" x="1077"/>
        <item sd="0" m="1" x="1202"/>
        <item sd="0" m="1" x="1451"/>
        <item sd="0" m="1" x="1034"/>
        <item sd="0" m="1" x="1025"/>
        <item sd="0" m="1" x="1313"/>
        <item sd="0" m="1" x="1165"/>
        <item sd="0" m="1" x="1033"/>
        <item sd="0" m="1" x="1046"/>
        <item sd="0" m="1" x="1460"/>
        <item sd="0" m="1" x="1300"/>
        <item sd="0" m="1" x="1126"/>
        <item sd="0" m="1" x="1041"/>
        <item sd="0" m="1" x="1264"/>
        <item sd="0" m="1" x="1118"/>
        <item sd="0" m="1" x="1276"/>
        <item sd="0" m="1" x="1155"/>
        <item sd="0" m="1" x="1377"/>
        <item sd="0" m="1" x="1405"/>
        <item sd="0" m="1" x="1176"/>
        <item sd="0" m="1" x="1122"/>
        <item sd="0" m="1" x="1195"/>
        <item sd="0" m="1" x="1156"/>
        <item sd="0" m="1" x="1051"/>
        <item sd="0" m="1" x="1220"/>
        <item sd="0" m="1" x="1113"/>
        <item sd="0" m="1" x="1221"/>
        <item sd="0" m="1" x="1160"/>
        <item sd="0" m="1" x="1188"/>
        <item sd="0" m="1" x="1130"/>
        <item sd="0" m="1" x="1233"/>
        <item sd="0" m="1" x="910"/>
        <item sd="0" m="1" x="1026"/>
        <item sd="0" m="1" x="1127"/>
        <item sd="0" m="1" x="911"/>
        <item sd="0" m="1" x="1028"/>
        <item sd="0" m="1" x="1166"/>
        <item sd="0" m="1" x="912"/>
        <item sd="0" m="1" x="1031"/>
        <item sd="0" m="1" x="989"/>
        <item sd="0" m="1" x="1124"/>
        <item sd="0" m="1" x="1217"/>
        <item sd="0" m="1" x="896"/>
        <item sd="0" m="1" x="1255"/>
        <item sd="0" m="1" x="1338"/>
        <item sd="0" m="1" x="1196"/>
        <item sd="0" m="1" x="913"/>
        <item sd="0" m="1" x="1227"/>
        <item sd="0" m="1" x="1073"/>
        <item sd="0" m="1" x="1218"/>
        <item sd="0" m="1" x="1108"/>
        <item sd="0" m="1" x="1236"/>
        <item sd="0" m="1" x="1071"/>
        <item sd="0" m="1" x="1237"/>
        <item sd="0" m="1" x="1074"/>
        <item sd="0" m="1" x="1179"/>
        <item sd="0" m="1" x="1093"/>
        <item sd="0" m="1" x="1230"/>
        <item sd="0" m="1" x="892"/>
        <item sd="0" m="1" x="1190"/>
        <item sd="0" m="1" x="1078"/>
        <item sd="0" m="1" x="1150"/>
        <item sd="0" m="1" x="908"/>
        <item sd="0" m="1" x="1256"/>
        <item sd="0" m="1" x="928"/>
        <item sd="0" m="1" x="1367"/>
        <item sd="0" m="1" x="1339"/>
        <item sd="0" m="1" x="1194"/>
        <item sd="0" m="1" x="1116"/>
        <item sd="0" m="1" x="1241"/>
        <item sd="0" m="1" x="1092"/>
        <item sd="0" m="1" x="1139"/>
        <item sd="0" m="1" x="924"/>
        <item sd="0" m="1" x="1177"/>
        <item sd="0" m="1" x="987"/>
        <item sd="0" m="1" x="1050"/>
        <item sd="0" m="1" x="988"/>
        <item sd="0" m="1" x="1247"/>
        <item sd="0" m="1" x="922"/>
        <item sd="0" m="1" x="1222"/>
        <item sd="0" m="1" x="1068"/>
        <item sd="0" m="1" x="1214"/>
        <item sd="0" m="1" x="945"/>
        <item sd="0" m="1" x="1248"/>
        <item sd="0" m="1" x="1024"/>
        <item sd="0" m="1" x="1223"/>
        <item sd="0" m="1" x="981"/>
        <item sd="0" m="1" x="1335"/>
        <item sd="0" m="1" x="1399"/>
        <item sd="0" m="1" x="1257"/>
        <item sd="0" m="1" x="1023"/>
        <item sd="0" m="1" x="1224"/>
        <item sd="0" m="1" x="972"/>
        <item sd="0" m="1" x="1225"/>
        <item sd="0" m="1" x="929"/>
        <item sd="0" m="1" x="1169"/>
        <item sd="0" m="1" x="1005"/>
        <item sd="0" m="1" x="1258"/>
        <item sd="0" m="1" x="1006"/>
        <item sd="0" m="1" x="1253"/>
        <item sd="0" m="1" x="1021"/>
        <item sd="0" m="1" x="1254"/>
        <item sd="0" m="1" x="985"/>
        <item sd="0" m="1" x="1151"/>
        <item sd="0" m="1" x="1020"/>
        <item sd="0" m="1" x="1288"/>
        <item sd="0" m="1" x="1079"/>
        <item sd="0" m="1" x="997"/>
        <item sd="0" m="1" x="970"/>
        <item sd="0" m="1" x="1336"/>
        <item sd="0" m="1" x="1274"/>
        <item sd="0" m="1" x="1215"/>
        <item sd="0" m="1" x="1022"/>
        <item sd="0" m="1" x="1170"/>
        <item sd="0" m="1" x="1009"/>
        <item sd="0" m="1" x="1100"/>
        <item sd="0" m="1" x="770"/>
        <item sd="0" m="1" x="1226"/>
        <item sd="0" m="1" x="771"/>
        <item sd="0" m="1" x="1101"/>
        <item sd="0" m="1" x="772"/>
        <item sd="0" m="1" x="1171"/>
        <item sd="0" m="1" x="773"/>
        <item sd="0" m="1" x="1172"/>
        <item sd="0" m="1" x="774"/>
        <item sd="0" m="1" x="1157"/>
        <item sd="0" m="1" x="775"/>
        <item sd="0" m="1" x="1173"/>
        <item sd="0" m="1" x="776"/>
        <item sd="0" m="1" x="1174"/>
        <item sd="0" m="1" x="566"/>
        <item sd="0" m="1" x="1397"/>
        <item sd="0" m="1" x="1394"/>
        <item sd="0" m="1" x="1102"/>
        <item sd="0" m="1" x="916"/>
        <item sd="0" m="1" x="1175"/>
        <item sd="0" m="1" x="930"/>
        <item sd="0" m="1" x="1103"/>
        <item sd="0" m="1" x="961"/>
        <item sd="0" m="1" x="1014"/>
        <item sd="0" m="1" x="920"/>
        <item sd="0" m="1" x="1094"/>
        <item sd="0" m="1" x="939"/>
        <item sd="0" m="1" x="1469"/>
        <item sd="0" m="1" x="977"/>
        <item sd="0" m="1" x="1015"/>
        <item sd="0" m="1" x="951"/>
        <item sd="0" m="1" x="956"/>
        <item sd="0" m="1" x="946"/>
        <item sd="0" m="1" x="1016"/>
        <item sd="0" m="1" x="777"/>
        <item sd="0" m="1" x="957"/>
        <item sd="0" m="1" x="778"/>
        <item sd="0" m="1" x="1308"/>
        <item sd="0" m="1" x="1402"/>
        <item sd="0" m="1" x="958"/>
        <item sd="0" m="1" x="838"/>
        <item sd="0" m="1" x="1017"/>
        <item sd="0" m="1" x="681"/>
        <item sd="0" m="1" x="983"/>
        <item sd="0" m="1" x="702"/>
        <item sd="0" m="1" x="959"/>
        <item sd="0" m="1" x="703"/>
        <item sd="0" m="1" x="984"/>
        <item sd="0" m="1" x="834"/>
        <item sd="0" m="1" x="931"/>
        <item sd="0" m="1" x="805"/>
        <item sd="0" m="1" x="883"/>
        <item sd="0" m="1" x="704"/>
        <item sd="0" m="1" x="1018"/>
        <item sd="0" m="1" x="873"/>
        <item sd="0" m="1" x="960"/>
        <item sd="0" m="1" x="893"/>
        <item sd="0" m="1" x="932"/>
        <item sd="0" m="1" x="950"/>
        <item sd="0" m="1" x="1347"/>
        <item sd="0" m="1" x="1364"/>
        <item sd="0" m="1" x="1292"/>
        <item sd="0" m="1" x="1403"/>
        <item sd="0" m="1" x="1180"/>
        <item sd="0" m="1" x="934"/>
        <item sd="0" m="1" x="1143"/>
        <item sd="0" m="1" x="948"/>
        <item sd="0" m="1" x="895"/>
        <item sd="0" m="1" x="741"/>
        <item sd="0" m="1" x="1110"/>
        <item sd="0" m="1" x="758"/>
        <item sd="0" m="1" x="952"/>
        <item sd="0" m="1" x="918"/>
        <item sd="0" m="1" x="1229"/>
        <item sd="0" m="1" x="807"/>
        <item sd="0" m="1" x="1232"/>
        <item sd="0" m="1" x="842"/>
        <item sd="0" m="1" x="1133"/>
        <item sd="0" m="1" x="919"/>
        <item sd="0" m="1" x="1088"/>
        <item sd="0" m="1" x="705"/>
        <item sd="0" m="1" x="903"/>
        <item sd="0" m="1" x="846"/>
        <item sd="0" m="1" x="943"/>
        <item sd="0" m="1" x="1375"/>
        <item sd="0" m="1" x="1152"/>
        <item sd="0" m="1" x="881"/>
        <item sd="0" m="1" x="982"/>
        <item sd="0" m="1" x="872"/>
        <item sd="0" m="1" x="597"/>
        <item sd="0" m="1" x="865"/>
        <item sd="0" m="1" x="1147"/>
        <item sd="0" m="1" x="888"/>
        <item sd="0" m="1" x="1144"/>
        <item sd="0" m="1" x="841"/>
        <item sd="0" m="1" x="1132"/>
        <item sd="0" m="1" x="220"/>
        <item sd="0" m="1" x="944"/>
        <item sd="0" m="1" x="779"/>
        <item sd="0" m="1" x="933"/>
        <item sd="0" m="1" x="780"/>
        <item sd="0" m="1" x="801"/>
        <item sd="0" m="1" x="781"/>
        <item sd="0" m="1" x="748"/>
        <item sd="0" m="1" x="782"/>
        <item sd="0" m="1" x="1329"/>
        <item sd="0" m="1" x="1376"/>
        <item sd="0" m="1" x="867"/>
        <item sd="0" m="1" x="783"/>
        <item sd="0" m="1" x="884"/>
        <item sd="0" m="1" x="784"/>
        <item sd="0" m="1" x="694"/>
        <item sd="0" m="1" x="868"/>
        <item sd="0" m="1" x="835"/>
        <item sd="0" m="1" x="889"/>
        <item sd="0" m="1" x="487"/>
        <item sd="0" m="1" x="874"/>
        <item sd="0" m="1" x="854"/>
        <item sd="0" m="1" x="894"/>
        <item sd="0" m="1" x="836"/>
        <item sd="0" m="1" x="847"/>
        <item sd="0" m="1" x="965"/>
        <item sd="0" m="1" x="761"/>
        <item sd="0" m="1" x="666"/>
        <item sd="0" m="1" x="864"/>
        <item sd="0" m="1" x="638"/>
        <item sd="0" m="1" x="831"/>
        <item sd="0" m="1" x="1168"/>
        <item sd="0" m="1" x="1415"/>
        <item sd="0" m="1" x="1279"/>
        <item sd="0" m="1" x="553"/>
        <item sd="0" m="1" x="750"/>
        <item sd="0" m="1" x="667"/>
        <item sd="0" m="1" x="751"/>
        <item sd="0" m="1" x="608"/>
        <item sd="0" m="1" x="803"/>
        <item sd="0" m="1" x="763"/>
        <item sd="0" m="1" x="856"/>
        <item sd="0" m="1" x="609"/>
        <item sd="0" m="1" x="1432"/>
        <item sd="0" m="1" x="668"/>
        <item sd="0" m="1" x="743"/>
        <item sd="0" m="1" x="554"/>
        <item sd="0" m="1" x="744"/>
        <item sd="0" m="1" x="706"/>
        <item sd="0" m="1" x="745"/>
        <item sd="0" m="1" x="639"/>
        <item sd="0" m="1" x="850"/>
        <item sd="0" m="1" x="1167"/>
        <item sd="0" m="1" x="851"/>
        <item sd="0" m="1" x="1054"/>
        <item sd="0" m="1" x="1280"/>
        <item sd="0" m="1" x="610"/>
        <item sd="0" m="1" x="852"/>
        <item sd="0" m="1" x="640"/>
        <item sd="0" m="1" x="746"/>
        <item sd="0" m="1" x="471"/>
        <item sd="0" m="1" x="724"/>
        <item sd="0" m="1" x="573"/>
        <item sd="0" m="1" x="848"/>
        <item sd="0" x="3"/>
        <item sd="0" m="1" x="1419"/>
        <item sd="0" m="1" x="472"/>
        <item sd="0" m="1" x="580"/>
        <item sd="0" m="1" x="473"/>
        <item sd="0" m="1" x="802"/>
        <item sd="0" m="1" x="555"/>
        <item sd="0" m="1" x="796"/>
        <item sd="0" m="1" x="574"/>
        <item sd="0" m="1" x="562"/>
        <item sd="0" m="1" x="1153"/>
        <item sd="0" m="1" x="826"/>
        <item sd="0" m="1" x="1228"/>
        <item sd="0" m="1" x="1393"/>
        <item sd="0" m="1" x="515"/>
        <item sd="0" m="1" x="830"/>
        <item sd="0" m="1" x="575"/>
        <item sd="0" m="1" x="506"/>
        <item sd="0" m="1" x="422"/>
        <item sd="0" m="1" x="507"/>
        <item sd="0" m="1" x="474"/>
        <item sd="0" m="1" x="839"/>
        <item sd="0" m="1" x="444"/>
        <item sd="0" m="1" x="849"/>
        <item sd="0" m="1" x="1117"/>
        <item sd="0" m="1" x="818"/>
        <item sd="0" m="1" x="1141"/>
        <item sd="0" m="1" x="825"/>
        <item sd="0" m="1" x="1134"/>
        <item sd="0" m="1" x="791"/>
        <item sd="0" m="1" x="998"/>
        <item sd="0" m="1" x="618"/>
        <item sd="0" m="1" x="1148"/>
        <item sd="0" m="1" x="759"/>
        <item sd="0" m="1" x="1197"/>
        <item sd="0" m="1" x="1391"/>
        <item sd="0" m="1" x="1184"/>
        <item sd="0" m="1" x="766"/>
        <item sd="0" m="1" x="1010"/>
        <item sd="0" m="1" x="767"/>
        <item sd="0" m="1" x="429"/>
        <item sd="0" m="1" x="438"/>
        <item sd="0" m="1" x="641"/>
        <item sd="0" m="1" x="797"/>
        <item sd="0" m="1" x="516"/>
        <item sd="0" m="1" x="817"/>
        <item sd="0" m="1" x="410"/>
        <item sd="0" m="1" x="678"/>
        <item sd="0" x="4"/>
        <item sd="0" m="1" x="827"/>
        <item sd="0" m="1" x="445"/>
        <item sd="0" m="1" x="828"/>
        <item sd="0" m="1" x="411"/>
        <item sd="0" m="1" x="829"/>
        <item sd="0" m="1" x="423"/>
        <item sd="0" m="1" x="710"/>
        <item sd="0" m="1" x="1277"/>
        <item sd="0" m="1" x="1290"/>
        <item sd="0" m="1" x="430"/>
        <item sd="0" m="1" x="734"/>
        <item sd="0" m="1" x="1211"/>
        <item sd="0" m="1" x="792"/>
        <item sd="0" m="1" x="1212"/>
        <item sd="0" m="1" x="793"/>
        <item sd="0" m="1" x="1128"/>
        <item sd="0" m="1" x="795"/>
        <item sd="0" m="1" x="1095"/>
        <item sd="0" m="1" x="616"/>
        <item sd="0" m="1" x="1136"/>
        <item sd="0" m="1" x="762"/>
        <item sd="0" m="1" x="1129"/>
        <item sd="0" m="1" x="546"/>
        <item sd="0" m="1" x="1203"/>
        <item sd="0" m="1" x="547"/>
        <item sd="0" m="1" x="871"/>
        <item sd="0" m="1" x="756"/>
        <item sd="0" m="1" x="544"/>
        <item sd="0" m="1" x="716"/>
        <item sd="0" m="1" x="1238"/>
        <item sd="0" m="1" x="1200"/>
        <item sd="0" m="1" x="1140"/>
        <item sd="0" m="1" x="651"/>
        <item sd="0" m="1" x="1060"/>
        <item sd="0" m="1" x="810"/>
        <item sd="0" m="1" x="1096"/>
        <item sd="0" m="1" x="698"/>
        <item sd="0" m="1" x="1120"/>
        <item sd="0" m="1" x="509"/>
        <item sd="0" m="1" x="1192"/>
        <item sd="0" m="1" x="661"/>
        <item sd="0" m="1" x="967"/>
        <item sd="0" m="1" x="662"/>
        <item sd="0" m="1" x="968"/>
        <item sd="0" m="1" x="490"/>
        <item sd="0" m="1" x="1000"/>
        <item sd="0" m="1" x="747"/>
        <item sd="0" m="1" x="1011"/>
        <item sd="0" m="1" x="769"/>
        <item sd="0" m="1" x="1105"/>
        <item sd="0" m="1" x="742"/>
        <item sd="0" m="1" x="1198"/>
        <item sd="0" m="1" x="1067"/>
        <item sd="0" m="1" x="1106"/>
        <item sd="0" m="1" x="760"/>
        <item sd="0" m="1" x="1107"/>
        <item sd="0" m="1" x="733"/>
        <item sd="0" m="1" x="1098"/>
        <item sd="0" m="1" x="636"/>
        <item sd="0" m="1" x="986"/>
        <item sd="0" m="1" x="637"/>
        <item sd="0" m="1" x="1012"/>
        <item sd="0" m="1" x="717"/>
        <item sd="0" m="1" x="1007"/>
        <item sd="0" m="1" x="732"/>
        <item sd="0" m="1" x="1013"/>
        <item sd="0" m="1" x="623"/>
        <item sd="0" m="1" x="1125"/>
        <item sd="0" m="1" x="735"/>
        <item sd="0" m="1" x="1149"/>
        <item sd="0" m="1" x="726"/>
        <item sd="0" m="1" x="890"/>
        <item sd="0" m="1" x="708"/>
        <item sd="0" m="1" x="1334"/>
        <item sd="0" m="1" x="1365"/>
        <item sd="0" m="1" x="1204"/>
        <item sd="0" m="1" x="1084"/>
        <item sd="0" m="1" x="1185"/>
        <item sd="0" m="1" x="707"/>
        <item sd="0" m="1" x="899"/>
        <item sd="0" m="1" x="701"/>
        <item sd="0" m="1" x="860"/>
        <item sd="0" m="1" x="581"/>
        <item sd="0" m="1" x="808"/>
        <item sd="0" m="1" x="582"/>
        <item sd="0" m="1" x="809"/>
        <item sd="0" m="1" x="583"/>
        <item sd="0" m="1" x="1069"/>
        <item sd="0" m="1" x="584"/>
        <item sd="0" m="1" x="1111"/>
        <item sd="0" m="1" x="585"/>
        <item sd="0" m="1" x="1145"/>
        <item sd="0" m="1" x="657"/>
        <item sd="0" m="1" x="1080"/>
        <item sd="0" m="1" x="709"/>
        <item sd="0" m="1" x="1081"/>
        <item sd="0" m="1" x="571"/>
        <item sd="0" m="1" x="1384"/>
        <item sd="0" m="1" x="1322"/>
        <item sd="0" m="1" x="1070"/>
        <item sd="0" m="1" x="548"/>
        <item sd="0" m="1" x="1004"/>
        <item sd="0" m="1" x="594"/>
        <item sd="0" m="1" x="1089"/>
        <item sd="0" m="1" x="693"/>
        <item sd="0" m="1" x="1087"/>
        <item sd="0" m="1" x="658"/>
        <item sd="0" m="1" x="1137"/>
        <item sd="0" m="1" x="669"/>
        <item sd="0" m="1" x="1082"/>
        <item sd="0" m="1" x="632"/>
        <item sd="0" m="1" x="752"/>
        <item sd="0" m="1" x="664"/>
        <item sd="0" m="1" x="1072"/>
        <item sd="0" m="1" x="653"/>
        <item sd="0" m="1" x="900"/>
        <item sd="0" m="1" x="665"/>
        <item sd="0" m="1" x="1001"/>
        <item sd="0" m="1" x="586"/>
        <item sd="0" m="1" x="1385"/>
        <item sd="0" m="1" x="1002"/>
        <item sd="0" m="1" x="587"/>
        <item sd="0" m="1" x="947"/>
        <item sd="0" m="1" x="588"/>
        <item sd="0" m="1" x="906"/>
        <item sd="0" m="1" x="589"/>
        <item sd="0" m="1" x="935"/>
        <item sd="0" m="1" x="684"/>
        <item sd="0" m="1" x="901"/>
        <item sd="0" m="1" x="598"/>
        <item sd="0" m="1" x="891"/>
        <item sd="0" m="1" x="663"/>
        <item sd="0" m="1" x="905"/>
        <item sd="0" m="1" x="498"/>
        <item sd="0" m="1" x="1064"/>
        <item sd="0" m="1" x="615"/>
        <item sd="0" m="1" x="973"/>
        <item sd="0" m="1" x="630"/>
        <item sd="0" m="1" x="996"/>
        <item sd="0" m="1" x="543"/>
        <item sd="0" m="1" x="1371"/>
        <item sd="0" m="1" x="1037"/>
        <item sd="0" m="1" x="1097"/>
        <item sd="0" m="1" x="652"/>
        <item sd="0" m="1" x="887"/>
        <item sd="0" m="1" x="567"/>
        <item sd="0" m="1" x="725"/>
        <item sd="0" m="1" x="635"/>
        <item sd="0" m="1" x="619"/>
        <item sd="0" m="1" x="603"/>
        <item sd="0" m="1" x="415"/>
        <item sd="0" m="1" x="1414"/>
        <item sd="0" m="1" x="297"/>
        <item sd="0" m="1" x="333"/>
        <item sd="0" m="1" x="978"/>
        <item sd="0" m="1" x="522"/>
        <item sd="0" m="1" x="980"/>
        <item sd="0" m="1" x="607"/>
        <item sd="0" m="1" x="923"/>
        <item sd="0" m="1" x="1412"/>
        <item sd="0" m="1" x="936"/>
        <item sd="0" m="1" x="531"/>
        <item sd="0" m="1" x="1386"/>
        <item sd="0" m="1" x="1283"/>
        <item sd="0" m="1" x="915"/>
        <item sd="0" m="1" x="559"/>
        <item sd="0" m="1" x="628"/>
        <item sd="0" m="1" x="539"/>
        <item sd="0" m="1" x="1099"/>
        <item sd="0" m="1" x="520"/>
        <item sd="0" m="1" x="1085"/>
        <item sd="0" m="1" x="517"/>
        <item sd="0" m="1" x="941"/>
        <item sd="0" m="1" x="1019"/>
        <item sd="0" m="1" x="599"/>
        <item sd="0" m="1" x="949"/>
        <item sd="0" m="1" x="595"/>
        <item sd="0" m="1" x="1008"/>
        <item sd="0" m="1" x="557"/>
        <item sd="0" m="1" x="878"/>
        <item sd="0" m="1" x="228"/>
        <item sd="0" m="1" x="861"/>
        <item sd="0" m="1" x="229"/>
        <item sd="0" m="1" x="1400"/>
        <item sd="0" m="1" x="1284"/>
        <item sd="0" m="1" x="790"/>
        <item sd="0" m="1" x="556"/>
        <item sd="0" m="1" x="902"/>
        <item sd="0" m="1" x="620"/>
        <item sd="0" m="1" x="811"/>
        <item sd="0" m="1" x="381"/>
        <item sd="0" m="1" x="833"/>
        <item sd="0" m="1" x="382"/>
        <item sd="0" m="1" x="812"/>
        <item sd="0" m="1" x="491"/>
        <item sd="0" m="1" x="813"/>
        <item sd="0" m="1" x="442"/>
        <item sd="0" m="1" x="969"/>
        <item sd="0" m="1" x="528"/>
        <item sd="0" m="1" x="974"/>
        <item sd="0" m="1" x="561"/>
        <item sd="0" m="1" x="824"/>
        <item sd="0" m="1" x="427"/>
        <item sd="0" m="1" x="976"/>
        <item sd="0" m="1" x="345"/>
        <item sd="0" m="1" x="1383"/>
        <item sd="0" m="1" x="1285"/>
        <item sd="0" m="1" x="925"/>
        <item sd="0" m="1" x="346"/>
        <item sd="0" m="1" x="999"/>
        <item sd="0" m="1" x="572"/>
        <item sd="0" m="1" x="1003"/>
        <item sd="0" m="1" x="535"/>
        <item sd="0" m="1" x="685"/>
        <item sd="0" m="1" x="534"/>
        <item sd="0" m="1" x="879"/>
        <item sd="0" m="1" x="502"/>
        <item sd="0" m="1" x="937"/>
        <item sd="0" m="1" x="466"/>
        <item sd="0" m="1" x="962"/>
        <item sd="0" m="1" x="436"/>
        <item sd="0" m="1" x="966"/>
        <item sd="0" m="1" x="514"/>
        <item sd="0" m="1" x="963"/>
        <item sd="0" m="1" x="384"/>
        <item sd="0" m="1" x="853"/>
        <item sd="0" m="1" x="417"/>
        <item sd="0" m="1" x="1043"/>
        <item sd="0" m="1" x="1286"/>
        <item sd="0" m="1" x="510"/>
        <item sd="0" m="1" x="485"/>
        <item sd="0" m="1" x="347"/>
        <item sd="0" m="1" x="344"/>
        <item sd="0" m="1" x="305"/>
        <item sd="0" m="1" x="238"/>
        <item sd="0" m="1" x="265"/>
        <item sd="0" m="1" x="508"/>
        <item sd="0" m="1" x="237"/>
        <item sd="0" m="1" x="439"/>
        <item sd="0" m="1" x="154"/>
        <item sd="0" m="1" x="440"/>
        <item sd="0" m="1" x="111"/>
        <item sd="0" m="1" x="530"/>
        <item sd="0" m="1" x="875"/>
        <item sd="0" m="1" x="465"/>
        <item sd="0" m="1" x="917"/>
        <item sd="0" m="1" x="420"/>
        <item sd="0" m="1" x="979"/>
        <item sd="0" m="1" x="523"/>
        <item sd="0" m="1" x="1303"/>
        <item sd="0" m="1" x="1389"/>
        <item sd="0" m="1" x="975"/>
        <item sd="0" m="1" x="486"/>
        <item sd="0" m="1" x="907"/>
        <item sd="0" m="1" x="315"/>
        <item sd="0" m="1" x="971"/>
        <item sd="0" m="1" x="356"/>
        <item sd="0" m="1" x="858"/>
        <item sd="0" m="1" x="357"/>
        <item sd="0" m="1" x="859"/>
        <item sd="0" m="1" x="358"/>
        <item sd="0" m="1" x="788"/>
        <item sd="0" m="1" x="359"/>
        <item sd="0" m="1" x="855"/>
        <item sd="0" m="1" x="503"/>
        <item sd="0" m="1" x="886"/>
        <item sd="0" m="1" x="459"/>
        <item sd="0" m="1" x="877"/>
        <item sd="0" m="1" x="279"/>
        <item sd="0" m="1" x="840"/>
        <item sd="0" m="1" x="475"/>
        <item sd="0" m="1" x="1278"/>
        <item sd="0" m="1" x="1382"/>
        <item sd="0" m="1" x="904"/>
        <item sd="0" m="1" x="499"/>
        <item sd="0" m="1" x="870"/>
        <item sd="0" m="1" x="316"/>
        <item sd="0" m="1" x="869"/>
        <item sd="0" m="1" x="280"/>
        <item sd="0" m="1" x="954"/>
        <item sd="0" m="1" x="281"/>
        <item sd="0" m="1" x="862"/>
        <item sd="0" m="1" x="451"/>
        <item sd="0" m="1" x="819"/>
        <item sd="0" m="1" x="378"/>
        <item sd="0" m="1" x="926"/>
        <item sd="0" m="1" x="394"/>
        <item sd="0" m="1" x="837"/>
        <item sd="0" m="1" x="416"/>
        <item sd="0" m="1" x="680"/>
        <item sd="0" m="1" x="406"/>
        <item sd="0" m="1" x="914"/>
        <item sd="0" m="1" x="252"/>
        <item sd="0" m="1" x="1366"/>
        <item sd="0" m="1" x="1351"/>
        <item sd="0" m="1" x="1275"/>
        <item sd="0" m="1" x="1349"/>
        <item sd="0" m="1" x="964"/>
        <item sd="0" m="1" x="253"/>
        <item sd="0" m="1" x="866"/>
        <item sd="0" m="1" x="332"/>
        <item sd="0" m="1" x="511"/>
        <item sd="0" m="1" x="455"/>
        <item sd="0" m="1" x="306"/>
        <item sd="0" m="1" x="379"/>
        <item sd="0" m="1" x="307"/>
        <item sd="0" m="1" x="419"/>
        <item sd="0" m="1" x="275"/>
        <item sd="0" m="1" x="437"/>
        <item sd="0" m="1" x="260"/>
        <item sd="0" m="1" x="298"/>
        <item sd="0" m="1" x="239"/>
        <item sd="0" m="1" x="421"/>
        <item sd="0" m="1" x="198"/>
        <item sd="0" m="1" x="441"/>
        <item sd="0" m="1" x="195"/>
        <item sd="0" m="1" x="362"/>
        <item sd="0" m="1" x="1272"/>
        <item sd="0" m="1" x="1378"/>
        <item sd="0" m="1" x="880"/>
        <item sd="0" m="1" x="395"/>
        <item sd="0" m="1" x="822"/>
        <item sd="0" m="1" x="178"/>
        <item sd="0" m="1" x="921"/>
        <item sd="0" m="1" x="313"/>
        <item sd="0" m="1" x="953"/>
        <item sd="0" m="1" x="418"/>
        <item sd="0" m="1" x="1447"/>
        <item sd="0" m="1" x="393"/>
        <item sd="0" m="1" x="885"/>
        <item sd="0" m="1" x="317"/>
        <item sd="0" m="1" x="876"/>
        <item sd="0" m="1" x="387"/>
        <item sd="0" m="1" x="804"/>
        <item sd="0" m="1" x="329"/>
        <item sd="0" m="1" x="955"/>
        <item sd="0" m="1" x="328"/>
        <item sd="0" m="1" x="897"/>
        <item sd="0" m="1" x="375"/>
        <item sd="0" m="1" x="1267"/>
        <item sd="0" m="1" x="1363"/>
        <item sd="0" m="1" x="740"/>
        <item sd="0" m="1" x="342"/>
        <item sd="0" m="1" x="806"/>
        <item sd="0" m="1" x="402"/>
        <item sd="0" m="1" x="373"/>
        <item sd="0" m="1" x="325"/>
        <item sd="0" m="1" x="821"/>
        <item sd="0" m="1" x="210"/>
        <item sd="0" m="1" x="764"/>
        <item sd="0" m="1" x="363"/>
        <item sd="0" m="1" x="942"/>
        <item sd="0" m="1" x="405"/>
        <item sd="0" m="1" x="798"/>
        <item sd="0" m="1" x="389"/>
        <item sd="0" m="1" x="545"/>
        <item sd="0" m="1" x="291"/>
        <item sd="0" m="1" x="577"/>
        <item sd="0" m="1" x="114"/>
        <item sd="0" m="1" x="815"/>
        <item sd="0" m="1" x="230"/>
        <item sd="0" m="1" x="1309"/>
        <item sd="0" m="1" x="1268"/>
        <item sd="0" m="1" x="823"/>
        <item sd="0" m="1" x="231"/>
        <item sd="0" m="1" x="697"/>
        <item sd="0" m="1" x="232"/>
        <item sd="0" m="1" x="898"/>
        <item sd="0" m="1" x="233"/>
        <item sd="0" m="1" x="720"/>
        <item sd="0" m="1" x="234"/>
        <item sd="0" m="1" x="643"/>
        <item sd="0" m="1" x="235"/>
        <item sd="0" m="1" x="844"/>
        <item sd="0" m="1" x="236"/>
        <item sd="0" m="1" x="845"/>
        <item sd="0" m="1" x="390"/>
        <item sd="0" m="1" x="673"/>
        <item sd="0" m="1" x="119"/>
        <item sd="0" m="1" x="721"/>
        <item sd="0" m="1" x="216"/>
        <item sd="0" m="1" x="644"/>
        <item sd="0" m="1" x="1411"/>
        <item sd="0" m="1" x="1390"/>
        <item sd="0" m="1" x="1356"/>
        <item sd="0" m="1" x="645"/>
        <item sd="0" m="1" x="289"/>
        <item sd="0" m="1" x="646"/>
        <item sd="0" m="1" x="282"/>
        <item sd="0" m="1" x="799"/>
        <item sd="0" m="1" x="283"/>
        <item sd="0" m="1" x="863"/>
        <item sd="0" m="1" x="284"/>
        <item sd="0" m="1" x="843"/>
        <item sd="0" m="1" x="285"/>
        <item sd="0" m="1" x="814"/>
        <item sd="0" m="1" x="262"/>
        <item sd="0" m="1" x="787"/>
        <item sd="0" m="1" x="266"/>
        <item sd="0" m="1" x="882"/>
        <item sd="0" m="1" x="374"/>
        <item sd="0" m="1" x="713"/>
        <item sd="0" m="1" x="308"/>
        <item sd="0" m="1" x="857"/>
        <item sd="0" m="1" x="167"/>
        <item sd="0" m="1" x="1369"/>
        <item sd="0" m="1" x="1304"/>
        <item sd="0" m="1" x="832"/>
        <item sd="0" m="1" x="290"/>
        <item sd="0" m="1" x="749"/>
        <item sd="0" m="1" x="294"/>
        <item sd="0" m="1" x="675"/>
        <item sd="0" m="1" x="270"/>
        <item sd="0" m="1" x="723"/>
        <item sd="0" m="1" x="349"/>
        <item sd="0" m="1" x="695"/>
        <item sd="0" m="1" x="278"/>
        <item sd="0" m="1" x="647"/>
        <item sd="0" m="1" x="207"/>
        <item sd="0" m="1" x="600"/>
        <item sd="0" m="1" x="303"/>
        <item sd="0" m="1" x="755"/>
        <item sd="0" m="1" x="321"/>
        <item sd="0" m="1" x="816"/>
        <item sd="0" m="1" x="327"/>
        <item sd="0" m="1" x="686"/>
        <item sd="0" m="1" x="299"/>
        <item sd="0" m="1" x="1306"/>
        <item sd="0" m="1" x="1296"/>
        <item sd="0" m="1" x="617"/>
        <item sd="0" m="1" x="330"/>
        <item sd="0" m="1" x="699"/>
        <item sd="0" m="1" x="269"/>
        <item sd="0" m="1" x="757"/>
        <item sd="0" m="1" x="211"/>
        <item sd="0" m="1" x="765"/>
        <item sd="0" m="1" x="318"/>
        <item sd="0" m="1" x="722"/>
        <item sd="0" m="1" x="251"/>
        <item sd="0" m="1" x="629"/>
        <item sd="0" m="1" x="312"/>
        <item sd="0" m="1" x="737"/>
        <item sd="0" m="1" x="292"/>
        <item sd="0" m="1" x="718"/>
        <item sd="0" m="1" x="222"/>
        <item sd="0" m="1" x="670"/>
        <item sd="0" m="1" x="223"/>
        <item sd="0" m="1" x="691"/>
        <item sd="0" m="1" x="243"/>
        <item sd="0" m="1" x="1307"/>
        <item sd="0" m="1" x="1305"/>
        <item sd="0" m="1" x="692"/>
        <item sd="0" m="1" x="140"/>
        <item sd="0" m="1" x="596"/>
        <item sd="0" m="1" x="300"/>
        <item sd="0" m="1" x="789"/>
        <item sd="0" m="1" x="295"/>
        <item sd="0" m="1" x="715"/>
        <item sd="0" m="1" x="241"/>
        <item sd="0" m="1" x="689"/>
        <item sd="0" m="1" x="212"/>
        <item sd="0" m="1" x="604"/>
        <item sd="0" x="61"/>
        <item sd="0" m="1" x="461"/>
        <item sd="0" m="1" x="267"/>
        <item sd="0" m="1" x="462"/>
        <item sd="0" m="1" x="245"/>
        <item sd="0" m="1" x="786"/>
        <item sd="0" m="1" x="240"/>
        <item sd="0" m="1" x="687"/>
        <item sd="0" m="1" x="257"/>
        <item sd="0" m="1" x="1293"/>
        <item sd="0" m="1" x="1463"/>
        <item sd="0" m="1" x="1291"/>
        <item sd="0" m="1" x="688"/>
        <item sd="0" m="1" x="258"/>
        <item sd="0" m="1" x="696"/>
        <item sd="0" m="1" x="259"/>
        <item sd="0" m="1" x="714"/>
        <item sd="0" m="1" x="293"/>
        <item sd="0" m="1" x="730"/>
        <item sd="0" m="1" x="185"/>
        <item sd="0" m="1" x="533"/>
        <item sd="0" m="1" x="191"/>
        <item sd="0" m="1" x="785"/>
        <item sd="0" m="1" x="273"/>
        <item sd="0" m="1" x="820"/>
        <item sd="0" m="1" x="192"/>
        <item sd="0" m="1" x="727"/>
        <item sd="0" m="1" x="204"/>
        <item sd="0" m="1" x="738"/>
        <item sd="0" m="1" x="247"/>
        <item sd="0" m="1" x="728"/>
        <item sd="0" m="1" x="190"/>
        <item sd="0" m="1" x="1398"/>
        <item sd="0" m="1" x="1341"/>
        <item sd="0" m="1" x="729"/>
        <item sd="0" m="1" x="242"/>
        <item sd="0" m="1" x="602"/>
        <item sd="0" m="1" x="244"/>
        <item sd="0" m="1" x="700"/>
        <item sd="0" m="1" x="225"/>
        <item sd="0" m="1" x="536"/>
        <item sd="0" m="1" x="227"/>
        <item sd="0" m="1" x="800"/>
        <item sd="0" m="1" x="1410"/>
        <item sd="0" m="1" x="660"/>
        <item sd="0" m="1" x="174"/>
        <item sd="0" m="1" x="753"/>
        <item sd="0" m="1" x="175"/>
        <item sd="0" m="1" x="754"/>
        <item sd="0" m="1" x="209"/>
        <item sd="0" m="1" x="736"/>
        <item sd="0" m="1" x="184"/>
        <item sd="0" m="1" x="613"/>
        <item sd="0" m="1" x="213"/>
        <item sd="0" m="1" x="1362"/>
        <item sd="0" m="1" x="1352"/>
        <item sd="0" m="1" x="1294"/>
        <item sd="0" m="1" x="1314"/>
        <item sd="0" m="1" x="627"/>
        <item sd="0" m="1" x="1409"/>
        <item sd="0" m="1" x="614"/>
        <item sd="0" m="1" x="1408"/>
        <item sd="0" m="1" x="683"/>
        <item sd="0" m="1" x="193"/>
        <item sd="0" m="1" x="711"/>
        <item sd="0" m="1" x="215"/>
        <item sd="0" m="1" x="794"/>
        <item sd="0" m="1" x="106"/>
        <item sd="0" m="1" x="682"/>
        <item sd="0" m="1" x="107"/>
        <item sd="0" m="1" x="768"/>
        <item sd="0" m="1" x="169"/>
        <item sd="0" m="1" x="677"/>
        <item sd="0" m="1" x="170"/>
        <item sd="0" m="1" x="648"/>
        <item sd="0" m="1" x="171"/>
        <item sd="0" m="1" x="676"/>
        <item sd="0" m="1" x="172"/>
        <item sd="0" m="1" x="1059"/>
        <item sd="0" m="1" x="1297"/>
        <item sd="0" m="1" x="622"/>
        <item sd="0" m="1" x="206"/>
        <item sd="0" m="1" x="712"/>
        <item sd="0" m="1" x="208"/>
        <item sd="0" m="1" x="642"/>
        <item sd="0" m="1" x="180"/>
        <item sd="0" m="1" x="468"/>
        <item sd="0" m="1" x="181"/>
        <item sd="0" m="1" x="671"/>
        <item sd="0" m="1" x="186"/>
        <item sd="0" m="1" x="672"/>
        <item sd="0" m="1" x="163"/>
        <item sd="0" m="1" x="521"/>
        <item sd="0" m="1" x="164"/>
        <item sd="0" m="1" x="453"/>
        <item sd="0" m="1" x="153"/>
        <item sd="0" m="1" x="649"/>
        <item sd="0" m="1" x="197"/>
        <item sd="0" m="1" x="537"/>
        <item sd="0" m="1" x="137"/>
        <item sd="0" m="1" x="1350"/>
        <item sd="0" m="1" x="1374"/>
        <item sd="0" m="1" x="611"/>
        <item sd="0" m="1" x="183"/>
        <item sd="0" m="1" x="624"/>
        <item sd="0" m="1" x="88"/>
        <item sd="0" m="1" x="631"/>
        <item sd="0" m="1" x="93"/>
        <item sd="0" m="1" x="719"/>
        <item sd="0" m="1" x="146"/>
        <item sd="0" m="1" x="679"/>
        <item sd="0" m="1" x="147"/>
        <item sd="0" m="1" x="739"/>
        <item sd="0" m="1" x="139"/>
        <item sd="0" m="1" x="674"/>
        <item sd="0" m="1" x="108"/>
        <item sd="0" m="1" x="650"/>
        <item sd="0" m="1" x="149"/>
        <item sd="0" m="1" x="625"/>
        <item sd="0" m="1" x="150"/>
        <item sd="0" m="1" x="568"/>
        <item sd="0" m="1" x="173"/>
        <item sd="0" m="1" x="1219"/>
        <item sd="0" m="1" x="1464"/>
        <item sd="0" m="1" x="1038"/>
        <item sd="0" m="1" x="525"/>
        <item sd="0" m="1" x="134"/>
        <item sd="0" m="1" x="481"/>
        <item sd="0" x="73"/>
        <item sd="0" m="1" x="495"/>
        <item sd="0" x="43"/>
        <item sd="0" m="1" x="656"/>
        <item sd="0" m="1" x="80"/>
        <item sd="0" m="1" x="731"/>
        <item sd="0" m="1" x="165"/>
        <item sd="0" m="1" x="633"/>
        <item sd="0" m="1" x="109"/>
        <item sd="0" m="1" x="560"/>
        <item sd="0" m="1" x="94"/>
        <item sd="0" m="1" x="621"/>
        <item sd="0" m="1" x="95"/>
        <item sd="0" m="1" x="591"/>
        <item sd="0" m="1" x="168"/>
        <item sd="0" m="1" x="592"/>
        <item sd="0" m="1" x="141"/>
        <item sd="0" m="1" x="1201"/>
        <item sd="0" m="1" x="1462"/>
        <item sd="0" m="1" x="1207"/>
        <item sd="0" m="1" x="593"/>
        <item sd="0" m="1" x="129"/>
        <item sd="0" m="1" x="634"/>
        <item sd="0" m="1" x="130"/>
        <item sd="0" m="1" x="690"/>
        <item sd="0" m="1" x="143"/>
        <item sd="0" m="1" x="654"/>
        <item sd="0" m="1" x="144"/>
        <item sd="0" m="1" x="601"/>
        <item sd="0" m="1" x="112"/>
        <item sd="0" m="1" x="478"/>
        <item sd="0" m="1" x="132"/>
        <item sd="0" m="1" x="626"/>
        <item sd="0" m="1" x="118"/>
        <item sd="0" m="1" x="558"/>
        <item sd="0" m="1" x="96"/>
        <item sd="0" m="1" x="569"/>
        <item sd="0" m="1" x="102"/>
        <item sd="0" m="1" x="526"/>
        <item sd="0" m="1" x="115"/>
        <item sd="0" m="1" x="1154"/>
        <item sd="0" m="1" x="1234"/>
        <item sd="0" m="1" x="590"/>
        <item sd="0" m="1" x="120"/>
        <item sd="0" m="1" x="482"/>
        <item sd="0" x="34"/>
        <item sd="0" m="1" x="350"/>
        <item sd="0" m="1" x="101"/>
        <item sd="0" m="1" x="538"/>
        <item sd="0" m="1" x="98"/>
        <item sd="0" m="1" x="331"/>
        <item sd="0" m="1" x="103"/>
        <item sd="0" m="1" x="365"/>
        <item sd="0" m="1" x="100"/>
        <item sd="0" m="1" x="550"/>
        <item sd="0" m="1" x="97"/>
        <item sd="0" m="1" x="578"/>
        <item sd="0" x="0"/>
        <item sd="0" m="1" x="579"/>
        <item sd="0" m="1" x="85"/>
        <item sd="0" m="1" x="518"/>
        <item sd="0" x="74"/>
        <item sd="0" m="1" x="1372"/>
        <item sd="0" m="1" x="1458"/>
        <item sd="0" m="1" x="1326"/>
        <item sd="0" m="1" x="496"/>
        <item sd="0" x="75"/>
        <item sd="0" m="1" x="489"/>
        <item sd="0" x="44"/>
        <item sd="0" m="1" x="563"/>
        <item sd="0" m="1" x="84"/>
        <item sd="0" m="1" x="565"/>
        <item sd="0" x="2"/>
        <item sd="0" m="1" x="500"/>
        <item sd="0" x="35"/>
        <item sd="0" m="1" x="605"/>
        <item sd="0" m="1" x="82"/>
        <item sd="0" m="1" x="403"/>
        <item sd="0" x="41"/>
        <item sd="0" m="1" x="532"/>
        <item sd="0" m="1" x="83"/>
        <item sd="0" m="1" x="551"/>
        <item sd="0" x="36"/>
        <item sd="0" m="1" x="552"/>
        <item sd="0" x="37"/>
        <item sd="0" m="1" x="1066"/>
        <item sd="0" m="1" x="1039"/>
        <item sd="0" m="1" x="529"/>
        <item sd="0" x="59"/>
        <item sd="0" m="1" x="469"/>
        <item sd="0" x="64"/>
        <item sd="0" m="1" x="542"/>
        <item sd="0" m="1" x="501"/>
        <item sd="0" m="1" x="570"/>
        <item sd="0" m="1" x="1413"/>
        <item sd="0" m="1" x="351"/>
        <item sd="0" m="1" x="504"/>
        <item sd="0" m="1" x="576"/>
        <item sd="0" m="1" x="527"/>
        <item sd="0" m="1" x="1358"/>
        <item sd="0" m="1" x="1466"/>
        <item sd="0" m="1" x="1062"/>
        <item sd="0" m="1" x="446"/>
        <item sd="0" m="1" x="479"/>
        <item sd="0" m="1" x="564"/>
        <item sd="0" m="1" x="612"/>
        <item sd="0" m="1" x="519"/>
        <item sd="0" m="1" x="606"/>
        <item sd="0" m="1" x="467"/>
        <item sd="0" m="1" x="513"/>
        <item sd="0" m="1" x="480"/>
        <item sd="0" m="1" x="452"/>
        <item sd="0" m="1" x="1348"/>
        <item sd="0" m="1" x="1468"/>
        <item sd="0" m="1" x="1209"/>
        <item sd="0" m="1" x="493"/>
        <item sd="0" m="1" x="492"/>
        <item sd="0" m="1" x="371"/>
        <item sd="0" m="1" x="320"/>
        <item sd="0" m="1" x="301"/>
        <item sd="0" m="1" x="497"/>
        <item sd="0" m="1" x="391"/>
        <item sd="0" m="1" x="302"/>
        <item sd="0" m="1" x="470"/>
        <item sd="0" m="1" x="426"/>
        <item sd="0" m="1" x="1330"/>
        <item sd="0" m="1" x="1353"/>
        <item sd="0" m="1" x="1379"/>
        <item sd="0" m="1" x="1467"/>
        <item sd="0" m="1" x="1332"/>
        <item sd="0" m="1" x="392"/>
        <item sd="0" m="1" x="443"/>
        <item sd="0" m="1" x="549"/>
        <item sd="0" m="1" x="434"/>
        <item sd="0" m="1" x="460"/>
        <item sd="0" m="1" x="540"/>
        <item sd="0" m="1" x="541"/>
        <item sd="0" m="1" x="249"/>
        <item sd="0" m="1" x="366"/>
        <item sd="0" m="1" x="483"/>
        <item sd="0" m="1" x="1324"/>
        <item sd="0" m="1" x="1465"/>
        <item sd="0" m="1" x="1315"/>
        <item sd="0" m="1" x="484"/>
        <item sd="0" m="1" x="494"/>
        <item sd="0" m="1" x="505"/>
        <item sd="0" m="1" x="476"/>
        <item sd="0" m="1" x="524"/>
        <item sd="0" m="1" x="477"/>
        <item sd="0" m="1" x="447"/>
        <item sd="0" m="1" x="448"/>
        <item sd="0" m="1" x="397"/>
        <item sd="0" m="1" x="398"/>
        <item sd="0" m="1" x="1370"/>
        <item sd="0" m="1" x="1461"/>
        <item sd="0" m="1" x="1325"/>
        <item sd="0" m="1" x="412"/>
        <item sd="0" m="1" x="488"/>
        <item sd="0" m="1" x="408"/>
        <item sd="0" m="1" x="464"/>
        <item sd="0" m="1" x="409"/>
        <item sd="0" m="1" x="454"/>
        <item sd="0" m="1" x="372"/>
        <item sd="0" m="1" x="433"/>
        <item sd="0" m="1" x="413"/>
        <item sd="0" m="1" x="189"/>
        <item sd="0" m="1" x="1317"/>
        <item sd="0" m="1" x="1457"/>
        <item sd="0" m="1" x="1287"/>
        <item sd="0" m="1" x="399"/>
        <item sd="0" m="1" x="404"/>
        <item sd="0" m="1" x="449"/>
        <item sd="0" m="1" x="353"/>
        <item sd="0" m="1" x="354"/>
        <item sd="0" m="1" x="355"/>
        <item sd="0" m="1" x="424"/>
        <item sd="0" m="1" x="428"/>
        <item sd="0" m="1" x="263"/>
        <item sd="0" m="1" x="400"/>
        <item sd="0" m="1" x="1318"/>
        <item sd="0" m="1" x="1450"/>
        <item sd="0" m="1" x="1321"/>
        <item sd="0" m="1" x="401"/>
        <item sd="0" m="1" x="396"/>
        <item sd="0" m="1" x="352"/>
        <item sd="0" m="1" x="512"/>
        <item sd="0" m="1" x="456"/>
        <item sd="0" m="1" x="457"/>
        <item sd="0" m="1" x="340"/>
        <item sd="0" m="1" x="385"/>
        <item sd="0" m="1" x="274"/>
        <item sd="0" m="1" x="435"/>
        <item sd="0" m="1" x="1337"/>
        <item sd="0" m="1" x="1454"/>
        <item sd="0" m="1" x="1239"/>
        <item sd="0" m="1" x="311"/>
        <item sd="0" m="1" x="458"/>
        <item sd="0" m="1" x="407"/>
        <item sd="0" m="1" x="431"/>
        <item sd="0" m="1" x="432"/>
        <item sd="0" m="1" x="376"/>
        <item sd="0" m="1" x="450"/>
        <item sd="0" m="1" x="323"/>
        <item sd="0" m="1" x="341"/>
        <item sd="0" m="1" x="250"/>
        <item sd="0" m="1" x="1032"/>
        <item sd="0" m="1" x="1455"/>
        <item sd="0" m="1" x="1231"/>
        <item sd="0" m="1" x="360"/>
        <item sd="0" m="1" x="380"/>
        <item sd="0" m="1" x="370"/>
        <item sd="0" m="1" x="388"/>
        <item sd="0" m="1" x="414"/>
        <item sd="0" m="1" x="386"/>
        <item sd="0" m="1" x="343"/>
        <item sd="0" m="1" x="463"/>
        <item sd="0" m="1" x="377"/>
        <item sd="0" m="1" x="383"/>
        <item sd="0" m="1" x="1345"/>
        <item sd="0" m="1" x="1459"/>
        <item sd="0" m="1" x="1302"/>
        <item sd="0" m="1" x="368"/>
        <item sd="0" m="1" x="369"/>
        <item sd="0" m="1" x="286"/>
        <item sd="0" m="1" x="361"/>
        <item sd="0" m="1" x="364"/>
        <item sd="0" m="1" x="288"/>
        <item sd="0" m="1" x="309"/>
        <item sd="0" m="1" x="338"/>
        <item sd="0" m="1" x="324"/>
        <item sd="0" m="1" x="271"/>
        <item sd="0" m="1" x="1310"/>
        <item sd="0" m="1" x="1452"/>
        <item sd="0" m="1" x="1263"/>
        <item sd="0" m="1" x="348"/>
        <item sd="0" m="1" x="155"/>
        <item sd="0" m="1" x="339"/>
        <item sd="0" m="1" x="336"/>
        <item sd="0" m="1" x="337"/>
        <item sd="0" m="1" x="276"/>
        <item sd="0" m="1" x="156"/>
        <item sd="0" m="1" x="334"/>
        <item sd="0" m="1" x="335"/>
        <item sd="0" m="1" x="314"/>
        <item sd="0" m="1" x="1387"/>
        <item sd="0" m="1" x="1453"/>
        <item sd="0" m="1" x="1316"/>
        <item sd="0" m="1" x="254"/>
        <item sd="0" m="1" x="196"/>
        <item sd="0" m="1" x="248"/>
        <item sd="0" m="1" x="310"/>
        <item sd="0" m="1" x="319"/>
        <item sd="0" m="1" x="322"/>
        <item sd="0" m="1" x="214"/>
        <item sd="0" m="1" x="326"/>
        <item sd="0" m="1" x="304"/>
        <item sd="0" x="48"/>
        <item sd="0" m="1" x="1049"/>
        <item sd="0" m="1" x="1354"/>
        <item sd="0" m="1" x="1251"/>
        <item sd="0" m="1" x="1273"/>
        <item sd="0" x="49"/>
        <item sd="0" m="1" x="287"/>
        <item sd="0" m="1" x="256"/>
        <item sd="0" m="1" x="86"/>
        <item sd="0" m="1" x="296"/>
        <item sd="0" m="1" x="268"/>
        <item sd="0" m="1" x="261"/>
        <item sd="0" m="1" x="1407"/>
        <item sd="0" m="1" x="226"/>
        <item sd="0" m="1" x="264"/>
        <item sd="0" m="1" x="1104"/>
        <item sd="0" m="1" x="1259"/>
        <item sd="0" m="1" x="255"/>
        <item sd="0" m="1" x="272"/>
        <item sd="0" m="1" x="277"/>
        <item sd="0" m="1" x="217"/>
        <item sd="0" m="1" x="218"/>
        <item sd="0" x="52"/>
        <item sd="0" m="1" x="246"/>
        <item sd="0" m="1" x="221"/>
        <item sd="0" m="1" x="177"/>
        <item sd="0" m="1" x="160"/>
        <item sd="0" m="1" x="1090"/>
        <item sd="0" m="1" x="1449"/>
        <item sd="0" m="1" x="1260"/>
        <item sd="0" m="1" x="203"/>
        <item sd="0" m="1" x="201"/>
        <item sd="0" x="71"/>
        <item sd="0" m="1" x="199"/>
        <item sd="0" m="1" x="202"/>
        <item sd="0" m="1" x="166"/>
        <item sd="0" m="1" x="157"/>
        <item sd="0" m="1" x="224"/>
        <item sd="0" m="1" x="219"/>
        <item sd="0" m="1" x="205"/>
        <item sd="0" m="1" x="1083"/>
        <item sd="0" m="1" x="1435"/>
        <item sd="0" m="1" x="1271"/>
        <item sd="0" m="1" x="179"/>
        <item sd="0" x="19"/>
        <item sd="0" x="20"/>
        <item sd="0" m="1" x="113"/>
        <item sd="0" m="1" x="116"/>
        <item sd="0" x="50"/>
        <item sd="0" m="1" x="1406"/>
        <item sd="0" m="1" x="194"/>
        <item sd="0" m="1" x="158"/>
        <item sd="0" m="1" x="159"/>
        <item sd="0" m="1" x="1380"/>
        <item sd="0" m="1" x="1123"/>
        <item sd="0" m="1" x="200"/>
        <item sd="0" m="1" x="182"/>
        <item sd="0" m="1" x="89"/>
        <item sd="0" m="1" x="90"/>
        <item sd="0" m="1" x="161"/>
        <item sd="0" m="1" x="133"/>
        <item sd="0" m="1" x="122"/>
        <item sd="0" m="1" x="187"/>
        <item sd="0" m="1" x="176"/>
        <item sd="0" m="1" x="104"/>
        <item sd="0" m="1" x="1381"/>
        <item sd="0" m="1" x="655"/>
        <item sd="0" m="1" x="148"/>
        <item sd="0" m="1" x="162"/>
        <item sd="0" m="1" x="145"/>
        <item sd="0" m="1" x="188"/>
        <item sd="0" m="1" x="135"/>
        <item sd="0" m="1" x="136"/>
        <item sd="0" m="1" x="142"/>
        <item sd="0" m="1" x="138"/>
        <item sd="0" m="1" x="123"/>
        <item sd="0" m="1" x="151"/>
        <item sd="0" m="1" x="1333"/>
        <item sd="0" m="1" x="1235"/>
        <item sd="0" m="1" x="152"/>
        <item sd="0" m="1" x="124"/>
        <item sd="0" m="1" x="110"/>
        <item sd="0" x="53"/>
        <item sd="0" x="54"/>
        <item sd="0" m="1" x="121"/>
        <item sd="0" m="1" x="131"/>
        <item sd="0" m="1" x="117"/>
        <item sd="0" x="5"/>
        <item sd="0" m="1" x="91"/>
        <item sd="0" m="1" x="1373"/>
        <item sd="0" m="1" x="1443"/>
        <item sd="0" m="1" x="1281"/>
        <item sd="0" x="6"/>
        <item sd="0" m="1" x="92"/>
        <item sd="0" m="1" x="125"/>
        <item sd="0" m="1" x="126"/>
        <item sd="0" m="1" x="127"/>
        <item sd="0" m="1" x="128"/>
        <item sd="0" x="14"/>
        <item sd="0" x="15"/>
        <item sd="0" x="16"/>
        <item sd="0" x="45"/>
        <item sd="0" m="1" x="1388"/>
        <item sd="0" m="1" x="1448"/>
        <item sd="0" m="1" x="1295"/>
        <item sd="0" m="1" x="81"/>
        <item sd="0" x="55"/>
        <item sd="0" m="1" x="105"/>
        <item sd="0" m="1" x="99"/>
        <item sd="0" x="21"/>
        <item sd="0" x="22"/>
        <item sd="0" x="23"/>
        <item sd="0" x="39"/>
        <item sd="0" x="58"/>
        <item sd="0" x="51"/>
        <item sd="0" m="1" x="1342"/>
        <item sd="0" m="1" x="1444"/>
        <item sd="0" m="1" x="1181"/>
        <item sd="0" x="38"/>
        <item sd="0" x="17"/>
        <item sd="0" x="18"/>
        <item sd="0" x="60"/>
        <item sd="0" m="1" x="87"/>
        <item sd="0" x="24"/>
        <item sd="0" x="7"/>
        <item sd="0" x="8"/>
        <item sd="0" x="9"/>
        <item sd="0" x="10"/>
        <item sd="0" m="1" x="1328"/>
        <item sd="0" m="1" x="1355"/>
        <item sd="0" m="1" x="1392"/>
        <item sd="0" m="1" x="1446"/>
        <item sd="0" m="1" x="1240"/>
        <item sd="0" x="11"/>
        <item sd="0" x="42"/>
        <item sd="0" x="1"/>
        <item sd="0" x="76"/>
        <item sd="0" x="65"/>
        <item sd="0" x="66"/>
        <item sd="0" x="40"/>
        <item sd="0" x="77"/>
        <item sd="0" x="69"/>
        <item sd="0" x="70"/>
        <item sd="0" m="1" x="1327"/>
        <item sd="0" m="1" x="1246"/>
        <item sd="0" x="78"/>
        <item sd="0" x="46"/>
        <item sd="0" x="67"/>
        <item sd="0" x="12"/>
        <item sd="0" x="13"/>
        <item sd="0" x="72"/>
        <item sd="0" x="56"/>
        <item sd="0" x="25"/>
        <item sd="0" x="26"/>
        <item sd="0" x="27"/>
        <item sd="0" m="1" x="1250"/>
        <item sd="0" m="1" x="1208"/>
        <item sd="0" x="28"/>
        <item sd="0" x="29"/>
        <item sd="0" x="30"/>
        <item sd="0" x="47"/>
        <item sd="0" x="68"/>
        <item sd="0" x="31"/>
        <item sd="0" x="57"/>
        <item sd="0" x="62"/>
        <item sd="0" x="32"/>
        <item sd="0" x="33"/>
        <item sd="0" m="1" x="1343"/>
        <item sd="0" m="1" x="1438"/>
        <item sd="0" m="1" x="1075"/>
        <item sd="0" x="63"/>
        <item sd="0" m="1" x="1244"/>
        <item sd="0" m="1" x="1142"/>
        <item sd="0" m="1" x="1119"/>
        <item sd="0" m="1" x="909"/>
        <item sd="0" m="1" x="1058"/>
        <item sd="0" m="1" x="1470"/>
        <item sd="0" m="1" x="1456"/>
        <item sd="0" m="1" x="1252"/>
        <item sd="0" m="1" x="1420"/>
        <item sd="0" m="1" x="1135"/>
        <item sd="0" m="1" x="1035"/>
        <item sd="0" m="1" x="1319"/>
        <item sd="0" m="1" x="1440"/>
        <item sd="0" m="1" x="1261"/>
        <item sd="0" m="1" x="1320"/>
        <item sd="0" m="1" x="1445"/>
        <item sd="0" m="1" x="1189"/>
        <item sd="0" m="1" x="1055"/>
        <item sd="0" m="1" x="1359"/>
        <item sd="0" m="1" x="1441"/>
        <item sd="0" m="1" x="1121"/>
        <item sd="0" m="1" x="1266"/>
        <item sd="0" m="1" x="1361"/>
        <item sd="0" m="1" x="1360"/>
        <item sd="0" m="1" x="1439"/>
        <item sd="0" m="1" x="1269"/>
        <item sd="0" m="1" x="1027"/>
        <item sd="0" m="1" x="1442"/>
        <item sd="0" m="1" x="1262"/>
        <item sd="0" m="1" x="1112"/>
        <item sd="0" m="1" x="1433"/>
        <item sd="0" m="1" x="1249"/>
        <item sd="0" m="1" x="940"/>
        <item sd="0" m="1" x="1437"/>
        <item sd="0" m="1" x="1162"/>
        <item sd="0" m="1" x="659"/>
        <item sd="0" m="1" x="1436"/>
        <item sd="0" m="1" x="1242"/>
        <item sd="0" m="1" x="425"/>
        <item sd="0" m="1" x="1243"/>
        <item sd="0" m="1" x="367"/>
        <item sd="0" m="1" x="1427"/>
        <item sd="0" m="1" x="1061"/>
        <item sd="0" m="1" x="1340"/>
        <item sd="0" m="1" x="1434"/>
        <item sd="0" m="1" x="1182"/>
        <item sd="0" m="1" x="1044"/>
        <item sd="0" m="1" x="1183"/>
        <item sd="0" m="1" x="1323"/>
        <item sd="0" m="1" x="1063"/>
        <item h="1" sd="0" x="79"/>
        <item t="default" sd="0"/>
      </items>
    </pivotField>
    <pivotField showAll="0">
      <items count="4">
        <item sd="0" x="1"/>
        <item sd="0" x="0"/>
        <item h="1" sd="0" x="2"/>
        <item t="default" sd="0"/>
      </items>
    </pivotField>
    <pivotField showAll="0">
      <items count="4">
        <item sd="0" x="1"/>
        <item sd="0" x="0"/>
        <item h="1" sd="0" x="2"/>
        <item t="default" sd="0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0"/>
        <item t="default" sd="0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6"/>
    <field x="9"/>
    <field x="18"/>
  </rowFields>
  <rowItems count="5">
    <i>
      <x/>
    </i>
    <i>
      <x v="45"/>
    </i>
    <i>
      <x v="108"/>
    </i>
    <i>
      <x v="170"/>
    </i>
    <i t="grand">
      <x/>
    </i>
  </rowItems>
  <colFields count="1">
    <field x="13"/>
  </colFields>
  <colItems count="5">
    <i>
      <x v="373"/>
    </i>
    <i>
      <x v="377"/>
    </i>
    <i>
      <x v="385"/>
    </i>
    <i>
      <x v="396"/>
    </i>
    <i t="grand">
      <x/>
    </i>
  </colItems>
  <dataFields count="1">
    <dataField name="Qta/kg da ev" fld="12" baseField="13" baseItem="0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rgb="FFFF0000"/>
  </sheetPr>
  <dimension ref="A3:A33"/>
  <sheetViews>
    <sheetView workbookViewId="0">
      <selection activeCell="B6" sqref="B6"/>
    </sheetView>
  </sheetViews>
  <sheetFormatPr defaultRowHeight="15" x14ac:dyDescent="0.25"/>
  <cols>
    <col min="1" max="1" width="65.7109375" bestFit="1" customWidth="1"/>
    <col min="2" max="2" width="20.85546875" bestFit="1" customWidth="1"/>
  </cols>
  <sheetData>
    <row r="3" spans="1:1" x14ac:dyDescent="0.25">
      <c r="A3" s="3" t="s">
        <v>330</v>
      </c>
    </row>
    <row r="4" spans="1:1" x14ac:dyDescent="0.25">
      <c r="A4" s="4" t="s">
        <v>401</v>
      </c>
    </row>
    <row r="5" spans="1:1" x14ac:dyDescent="0.25">
      <c r="A5" s="4" t="s">
        <v>678</v>
      </c>
    </row>
    <row r="6" spans="1:1" x14ac:dyDescent="0.25">
      <c r="A6" s="4" t="s">
        <v>686</v>
      </c>
    </row>
    <row r="7" spans="1:1" x14ac:dyDescent="0.25">
      <c r="A7" s="4" t="s">
        <v>489</v>
      </c>
    </row>
    <row r="8" spans="1:1" x14ac:dyDescent="0.25">
      <c r="A8" s="4" t="s">
        <v>573</v>
      </c>
    </row>
    <row r="9" spans="1:1" x14ac:dyDescent="0.25">
      <c r="A9" s="4" t="s">
        <v>519</v>
      </c>
    </row>
    <row r="10" spans="1:1" x14ac:dyDescent="0.25">
      <c r="A10" s="4" t="s">
        <v>607</v>
      </c>
    </row>
    <row r="11" spans="1:1" x14ac:dyDescent="0.25">
      <c r="A11" s="4" t="s">
        <v>620</v>
      </c>
    </row>
    <row r="12" spans="1:1" x14ac:dyDescent="0.25">
      <c r="A12" s="4" t="s">
        <v>803</v>
      </c>
    </row>
    <row r="13" spans="1:1" x14ac:dyDescent="0.25">
      <c r="A13" s="4" t="s">
        <v>568</v>
      </c>
    </row>
    <row r="14" spans="1:1" x14ac:dyDescent="0.25">
      <c r="A14" s="4" t="s">
        <v>551</v>
      </c>
    </row>
    <row r="15" spans="1:1" x14ac:dyDescent="0.25">
      <c r="A15" s="4" t="s">
        <v>833</v>
      </c>
    </row>
    <row r="16" spans="1:1" x14ac:dyDescent="0.25">
      <c r="A16" s="4" t="s">
        <v>440</v>
      </c>
    </row>
    <row r="17" spans="1:1" x14ac:dyDescent="0.25">
      <c r="A17" s="4" t="s">
        <v>556</v>
      </c>
    </row>
    <row r="18" spans="1:1" x14ac:dyDescent="0.25">
      <c r="A18" s="4" t="s">
        <v>405</v>
      </c>
    </row>
    <row r="19" spans="1:1" x14ac:dyDescent="0.25">
      <c r="A19" s="4" t="s">
        <v>341</v>
      </c>
    </row>
    <row r="20" spans="1:1" x14ac:dyDescent="0.25">
      <c r="A20" s="4" t="s">
        <v>544</v>
      </c>
    </row>
    <row r="21" spans="1:1" x14ac:dyDescent="0.25">
      <c r="A21" s="4" t="s">
        <v>725</v>
      </c>
    </row>
    <row r="22" spans="1:1" x14ac:dyDescent="0.25">
      <c r="A22" s="4" t="s">
        <v>751</v>
      </c>
    </row>
    <row r="23" spans="1:1" x14ac:dyDescent="0.25">
      <c r="A23" s="4" t="s">
        <v>578</v>
      </c>
    </row>
    <row r="24" spans="1:1" x14ac:dyDescent="0.25">
      <c r="A24" s="4" t="s">
        <v>448</v>
      </c>
    </row>
    <row r="25" spans="1:1" x14ac:dyDescent="0.25">
      <c r="A25" s="4" t="s">
        <v>464</v>
      </c>
    </row>
    <row r="26" spans="1:1" x14ac:dyDescent="0.25">
      <c r="A26" s="4" t="s">
        <v>701</v>
      </c>
    </row>
    <row r="27" spans="1:1" x14ac:dyDescent="0.25">
      <c r="A27" s="4" t="s">
        <v>451</v>
      </c>
    </row>
    <row r="28" spans="1:1" x14ac:dyDescent="0.25">
      <c r="A28" s="4" t="s">
        <v>823</v>
      </c>
    </row>
    <row r="29" spans="1:1" x14ac:dyDescent="0.25">
      <c r="A29" s="4" t="s">
        <v>498</v>
      </c>
    </row>
    <row r="30" spans="1:1" x14ac:dyDescent="0.25">
      <c r="A30" s="4" t="s">
        <v>760</v>
      </c>
    </row>
    <row r="31" spans="1:1" x14ac:dyDescent="0.25">
      <c r="A31" s="4" t="s">
        <v>483</v>
      </c>
    </row>
    <row r="32" spans="1:1" x14ac:dyDescent="0.25">
      <c r="A32" s="4" t="s">
        <v>639</v>
      </c>
    </row>
    <row r="33" spans="1:1" x14ac:dyDescent="0.25">
      <c r="A33" s="4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tabColor rgb="FF00B050"/>
  </sheetPr>
  <dimension ref="A1:I68"/>
  <sheetViews>
    <sheetView workbookViewId="0">
      <selection activeCell="A22" sqref="A22"/>
    </sheetView>
  </sheetViews>
  <sheetFormatPr defaultRowHeight="15" x14ac:dyDescent="0.25"/>
  <cols>
    <col min="1" max="1" width="52.42578125" bestFit="1" customWidth="1"/>
    <col min="2" max="2" width="15.7109375" bestFit="1" customWidth="1"/>
    <col min="3" max="3" width="7" style="2" bestFit="1" customWidth="1"/>
    <col min="4" max="4" width="7.5703125" style="2" bestFit="1" customWidth="1"/>
    <col min="5" max="5" width="7.5703125" style="5" bestFit="1" customWidth="1"/>
    <col min="6" max="6" width="14.7109375" style="2" bestFit="1" customWidth="1"/>
    <col min="7" max="7" width="19.85546875" style="2" bestFit="1" customWidth="1"/>
    <col min="8" max="8" width="15.42578125" style="2" bestFit="1" customWidth="1"/>
    <col min="9" max="9" width="14.140625" style="2" bestFit="1" customWidth="1"/>
    <col min="10" max="10" width="23" bestFit="1" customWidth="1"/>
    <col min="11" max="11" width="23.5703125" bestFit="1" customWidth="1"/>
    <col min="12" max="12" width="23.85546875" bestFit="1" customWidth="1"/>
    <col min="13" max="13" width="20.5703125" bestFit="1" customWidth="1"/>
    <col min="14" max="14" width="23.42578125" bestFit="1" customWidth="1"/>
    <col min="15" max="15" width="8.7109375" bestFit="1" customWidth="1"/>
    <col min="16" max="16" width="9.42578125" bestFit="1" customWidth="1"/>
    <col min="17" max="17" width="23.85546875" bestFit="1" customWidth="1"/>
    <col min="18" max="18" width="18" bestFit="1" customWidth="1"/>
    <col min="19" max="19" width="20.28515625" bestFit="1" customWidth="1"/>
    <col min="20" max="20" width="24.140625" bestFit="1" customWidth="1"/>
    <col min="21" max="21" width="16.7109375" bestFit="1" customWidth="1"/>
    <col min="22" max="22" width="24.7109375" bestFit="1" customWidth="1"/>
    <col min="23" max="23" width="25.140625" bestFit="1" customWidth="1"/>
    <col min="24" max="24" width="18.7109375" bestFit="1" customWidth="1"/>
    <col min="25" max="26" width="21.85546875" bestFit="1" customWidth="1"/>
    <col min="27" max="27" width="23.42578125" bestFit="1" customWidth="1"/>
    <col min="28" max="28" width="25.5703125" bestFit="1" customWidth="1"/>
    <col min="29" max="29" width="17" bestFit="1" customWidth="1"/>
    <col min="30" max="30" width="22.7109375" bestFit="1" customWidth="1"/>
    <col min="31" max="31" width="6" bestFit="1" customWidth="1"/>
    <col min="32" max="32" width="19.5703125" bestFit="1" customWidth="1"/>
    <col min="33" max="33" width="24.42578125" bestFit="1" customWidth="1"/>
    <col min="34" max="34" width="25.140625" bestFit="1" customWidth="1"/>
    <col min="35" max="35" width="17.28515625" bestFit="1" customWidth="1"/>
    <col min="36" max="36" width="24.28515625" bestFit="1" customWidth="1"/>
    <col min="37" max="37" width="17" bestFit="1" customWidth="1"/>
    <col min="38" max="38" width="16.7109375" bestFit="1" customWidth="1"/>
    <col min="39" max="39" width="17.7109375" bestFit="1" customWidth="1"/>
    <col min="40" max="40" width="20.28515625" bestFit="1" customWidth="1"/>
    <col min="41" max="41" width="24.42578125" bestFit="1" customWidth="1"/>
    <col min="42" max="42" width="21.5703125" bestFit="1" customWidth="1"/>
    <col min="43" max="43" width="24.28515625" bestFit="1" customWidth="1"/>
    <col min="44" max="44" width="19.85546875" bestFit="1" customWidth="1"/>
    <col min="45" max="45" width="23.85546875" bestFit="1" customWidth="1"/>
    <col min="46" max="46" width="22.5703125" bestFit="1" customWidth="1"/>
    <col min="47" max="48" width="17.7109375" bestFit="1" customWidth="1"/>
  </cols>
  <sheetData>
    <row r="1" spans="1:9" x14ac:dyDescent="0.25">
      <c r="A1" s="3" t="s">
        <v>16</v>
      </c>
      <c r="B1" t="s">
        <v>393</v>
      </c>
    </row>
    <row r="3" spans="1:9" x14ac:dyDescent="0.25">
      <c r="A3" s="3" t="s">
        <v>342</v>
      </c>
      <c r="B3" s="3" t="s">
        <v>340</v>
      </c>
      <c r="D3"/>
      <c r="E3"/>
      <c r="F3"/>
      <c r="G3"/>
      <c r="H3"/>
      <c r="I3"/>
    </row>
    <row r="4" spans="1:9" x14ac:dyDescent="0.25">
      <c r="A4" s="3" t="s">
        <v>330</v>
      </c>
      <c r="B4" s="2">
        <v>4</v>
      </c>
      <c r="C4" s="2">
        <v>8</v>
      </c>
      <c r="D4"/>
      <c r="E4"/>
      <c r="F4"/>
      <c r="G4"/>
      <c r="H4"/>
      <c r="I4"/>
    </row>
    <row r="5" spans="1:9" x14ac:dyDescent="0.25">
      <c r="A5" s="4" t="s">
        <v>401</v>
      </c>
      <c r="B5" s="88"/>
      <c r="C5" s="89">
        <v>2400</v>
      </c>
      <c r="D5"/>
      <c r="E5"/>
      <c r="F5"/>
      <c r="G5"/>
      <c r="H5"/>
      <c r="I5"/>
    </row>
    <row r="6" spans="1:9" x14ac:dyDescent="0.25">
      <c r="A6" s="4" t="s">
        <v>678</v>
      </c>
      <c r="B6" s="88"/>
      <c r="C6" s="89">
        <v>4072</v>
      </c>
      <c r="D6"/>
      <c r="E6"/>
      <c r="F6"/>
      <c r="G6"/>
      <c r="H6"/>
      <c r="I6"/>
    </row>
    <row r="7" spans="1:9" x14ac:dyDescent="0.25">
      <c r="A7" s="4" t="s">
        <v>686</v>
      </c>
      <c r="B7" s="88"/>
      <c r="C7" s="89">
        <v>150</v>
      </c>
      <c r="D7"/>
      <c r="E7"/>
      <c r="F7"/>
      <c r="G7"/>
      <c r="H7"/>
      <c r="I7"/>
    </row>
    <row r="8" spans="1:9" x14ac:dyDescent="0.25">
      <c r="A8" s="4" t="s">
        <v>489</v>
      </c>
      <c r="B8" s="88"/>
      <c r="C8" s="89">
        <v>800.7</v>
      </c>
      <c r="D8"/>
      <c r="E8"/>
      <c r="F8"/>
      <c r="G8"/>
      <c r="H8"/>
      <c r="I8"/>
    </row>
    <row r="9" spans="1:9" x14ac:dyDescent="0.25">
      <c r="A9" s="4" t="s">
        <v>573</v>
      </c>
      <c r="B9" s="88"/>
      <c r="C9" s="89">
        <v>7980</v>
      </c>
      <c r="D9"/>
      <c r="E9"/>
      <c r="F9"/>
      <c r="G9"/>
      <c r="H9"/>
      <c r="I9"/>
    </row>
    <row r="10" spans="1:9" x14ac:dyDescent="0.25">
      <c r="A10" s="4" t="s">
        <v>519</v>
      </c>
      <c r="B10" s="88"/>
      <c r="C10" s="89">
        <v>3140</v>
      </c>
      <c r="D10"/>
      <c r="E10"/>
      <c r="F10"/>
      <c r="G10"/>
      <c r="H10"/>
      <c r="I10"/>
    </row>
    <row r="11" spans="1:9" x14ac:dyDescent="0.25">
      <c r="A11" s="4" t="s">
        <v>607</v>
      </c>
      <c r="B11" s="88"/>
      <c r="C11" s="89">
        <v>500.5</v>
      </c>
      <c r="D11"/>
      <c r="E11"/>
      <c r="F11"/>
      <c r="G11"/>
      <c r="H11"/>
      <c r="I11"/>
    </row>
    <row r="12" spans="1:9" x14ac:dyDescent="0.25">
      <c r="A12" s="4" t="s">
        <v>620</v>
      </c>
      <c r="B12" s="88"/>
      <c r="C12" s="89">
        <v>50</v>
      </c>
      <c r="D12"/>
      <c r="E12"/>
      <c r="F12"/>
      <c r="G12"/>
      <c r="H12"/>
      <c r="I12"/>
    </row>
    <row r="13" spans="1:9" x14ac:dyDescent="0.25">
      <c r="A13" s="4" t="s">
        <v>803</v>
      </c>
      <c r="B13" s="88"/>
      <c r="C13" s="89">
        <v>5000</v>
      </c>
      <c r="D13"/>
      <c r="E13"/>
      <c r="F13"/>
      <c r="G13"/>
      <c r="H13"/>
      <c r="I13"/>
    </row>
    <row r="14" spans="1:9" x14ac:dyDescent="0.25">
      <c r="A14" s="4" t="s">
        <v>568</v>
      </c>
      <c r="B14" s="88"/>
      <c r="C14" s="89">
        <v>6000</v>
      </c>
      <c r="D14"/>
      <c r="E14"/>
      <c r="F14"/>
      <c r="G14"/>
      <c r="H14"/>
      <c r="I14"/>
    </row>
    <row r="15" spans="1:9" x14ac:dyDescent="0.25">
      <c r="A15" s="4" t="s">
        <v>551</v>
      </c>
      <c r="B15" s="88"/>
      <c r="C15" s="89">
        <v>2.5</v>
      </c>
      <c r="D15"/>
      <c r="E15"/>
      <c r="F15"/>
      <c r="G15"/>
      <c r="H15"/>
      <c r="I15"/>
    </row>
    <row r="16" spans="1:9" x14ac:dyDescent="0.25">
      <c r="A16" s="4" t="s">
        <v>833</v>
      </c>
      <c r="B16" s="88"/>
      <c r="C16" s="89">
        <v>275</v>
      </c>
      <c r="D16"/>
      <c r="E16"/>
      <c r="F16"/>
      <c r="G16"/>
      <c r="H16"/>
      <c r="I16"/>
    </row>
    <row r="17" spans="1:3" customFormat="1" x14ac:dyDescent="0.25">
      <c r="A17" s="4" t="s">
        <v>440</v>
      </c>
      <c r="B17" s="88"/>
      <c r="C17" s="89">
        <v>2000</v>
      </c>
    </row>
    <row r="18" spans="1:3" customFormat="1" x14ac:dyDescent="0.25">
      <c r="A18" s="4" t="s">
        <v>556</v>
      </c>
      <c r="B18" s="88"/>
      <c r="C18" s="89">
        <v>1640</v>
      </c>
    </row>
    <row r="19" spans="1:3" customFormat="1" x14ac:dyDescent="0.25">
      <c r="A19" s="4" t="s">
        <v>405</v>
      </c>
      <c r="B19" s="88">
        <v>1000</v>
      </c>
      <c r="C19" s="89">
        <v>100</v>
      </c>
    </row>
    <row r="20" spans="1:3" customFormat="1" x14ac:dyDescent="0.25">
      <c r="A20" s="4" t="s">
        <v>341</v>
      </c>
      <c r="B20" s="88"/>
      <c r="C20" s="89">
        <v>45984</v>
      </c>
    </row>
    <row r="21" spans="1:3" customFormat="1" x14ac:dyDescent="0.25">
      <c r="A21" s="4" t="s">
        <v>544</v>
      </c>
      <c r="B21" s="88"/>
      <c r="C21" s="89">
        <v>1280</v>
      </c>
    </row>
    <row r="22" spans="1:3" customFormat="1" x14ac:dyDescent="0.25">
      <c r="A22" s="4" t="s">
        <v>725</v>
      </c>
      <c r="B22" s="88"/>
      <c r="C22" s="89">
        <v>12401</v>
      </c>
    </row>
    <row r="23" spans="1:3" customFormat="1" x14ac:dyDescent="0.25">
      <c r="A23" s="4" t="s">
        <v>751</v>
      </c>
      <c r="B23" s="88"/>
      <c r="C23" s="89">
        <v>1280</v>
      </c>
    </row>
    <row r="24" spans="1:3" customFormat="1" x14ac:dyDescent="0.25">
      <c r="A24" s="4" t="s">
        <v>578</v>
      </c>
      <c r="B24" s="88"/>
      <c r="C24" s="89">
        <v>6400</v>
      </c>
    </row>
    <row r="25" spans="1:3" customFormat="1" x14ac:dyDescent="0.25">
      <c r="A25" s="4" t="s">
        <v>448</v>
      </c>
      <c r="B25" s="88"/>
      <c r="C25" s="89">
        <v>5440.5</v>
      </c>
    </row>
    <row r="26" spans="1:3" customFormat="1" x14ac:dyDescent="0.25">
      <c r="A26" s="4" t="s">
        <v>464</v>
      </c>
      <c r="B26" s="88">
        <v>11441</v>
      </c>
      <c r="C26" s="89"/>
    </row>
    <row r="27" spans="1:3" customFormat="1" x14ac:dyDescent="0.25">
      <c r="A27" s="4" t="s">
        <v>701</v>
      </c>
      <c r="B27" s="88"/>
      <c r="C27" s="89">
        <v>400</v>
      </c>
    </row>
    <row r="28" spans="1:3" customFormat="1" x14ac:dyDescent="0.25">
      <c r="A28" s="4" t="s">
        <v>451</v>
      </c>
      <c r="B28" s="88"/>
      <c r="C28" s="89">
        <v>500</v>
      </c>
    </row>
    <row r="29" spans="1:3" customFormat="1" x14ac:dyDescent="0.25">
      <c r="A29" s="4" t="s">
        <v>823</v>
      </c>
      <c r="B29" s="88"/>
      <c r="C29" s="89">
        <v>2500</v>
      </c>
    </row>
    <row r="30" spans="1:3" customFormat="1" x14ac:dyDescent="0.25">
      <c r="A30" s="4" t="s">
        <v>498</v>
      </c>
      <c r="B30" s="88"/>
      <c r="C30" s="89">
        <v>20000</v>
      </c>
    </row>
    <row r="31" spans="1:3" customFormat="1" x14ac:dyDescent="0.25">
      <c r="A31" s="4" t="s">
        <v>760</v>
      </c>
      <c r="B31" s="88"/>
      <c r="C31" s="89">
        <v>3380</v>
      </c>
    </row>
    <row r="32" spans="1:3" customFormat="1" x14ac:dyDescent="0.25">
      <c r="A32" s="4" t="s">
        <v>483</v>
      </c>
      <c r="B32" s="88"/>
      <c r="C32" s="89">
        <v>2500</v>
      </c>
    </row>
    <row r="33" spans="3:9" x14ac:dyDescent="0.25">
      <c r="C33"/>
      <c r="D33"/>
      <c r="E33"/>
      <c r="F33"/>
      <c r="G33"/>
      <c r="H33"/>
      <c r="I33"/>
    </row>
    <row r="34" spans="3:9" x14ac:dyDescent="0.25">
      <c r="C34"/>
      <c r="D34"/>
      <c r="E34"/>
      <c r="F34"/>
      <c r="G34"/>
      <c r="H34"/>
      <c r="I34"/>
    </row>
    <row r="35" spans="3:9" x14ac:dyDescent="0.25">
      <c r="C35"/>
      <c r="D35"/>
      <c r="E35"/>
      <c r="F35"/>
      <c r="G35"/>
      <c r="H35"/>
      <c r="I35"/>
    </row>
    <row r="36" spans="3:9" x14ac:dyDescent="0.25">
      <c r="C36"/>
      <c r="D36"/>
      <c r="E36"/>
      <c r="F36"/>
      <c r="G36"/>
      <c r="H36"/>
      <c r="I36"/>
    </row>
    <row r="37" spans="3:9" x14ac:dyDescent="0.25">
      <c r="C37"/>
      <c r="D37"/>
      <c r="E37"/>
      <c r="F37"/>
      <c r="G37"/>
      <c r="H37"/>
      <c r="I37"/>
    </row>
    <row r="38" spans="3:9" x14ac:dyDescent="0.25">
      <c r="C38"/>
      <c r="D38"/>
      <c r="E38"/>
      <c r="F38"/>
      <c r="G38"/>
      <c r="H38"/>
      <c r="I38"/>
    </row>
    <row r="39" spans="3:9" x14ac:dyDescent="0.25">
      <c r="C39"/>
      <c r="D39"/>
      <c r="E39"/>
      <c r="F39"/>
      <c r="G39"/>
      <c r="H39"/>
      <c r="I39"/>
    </row>
    <row r="40" spans="3:9" x14ac:dyDescent="0.25">
      <c r="C40"/>
      <c r="D40"/>
      <c r="E40"/>
      <c r="F40"/>
      <c r="G40"/>
      <c r="H40"/>
      <c r="I40"/>
    </row>
    <row r="41" spans="3:9" x14ac:dyDescent="0.25">
      <c r="C41"/>
      <c r="D41"/>
      <c r="E41"/>
      <c r="F41"/>
      <c r="G41"/>
      <c r="H41"/>
      <c r="I41"/>
    </row>
    <row r="42" spans="3:9" x14ac:dyDescent="0.25">
      <c r="C42"/>
      <c r="D42"/>
      <c r="E42"/>
      <c r="F42"/>
      <c r="G42"/>
      <c r="H42"/>
      <c r="I42"/>
    </row>
    <row r="43" spans="3:9" x14ac:dyDescent="0.25">
      <c r="C43"/>
      <c r="D43"/>
      <c r="E43"/>
      <c r="F43"/>
      <c r="G43"/>
      <c r="H43"/>
      <c r="I43"/>
    </row>
    <row r="44" spans="3:9" x14ac:dyDescent="0.25">
      <c r="C44"/>
      <c r="D44"/>
      <c r="E44"/>
      <c r="F44"/>
      <c r="G44"/>
      <c r="H44"/>
      <c r="I44"/>
    </row>
    <row r="45" spans="3:9" x14ac:dyDescent="0.25">
      <c r="C45"/>
      <c r="D45"/>
      <c r="E45"/>
      <c r="F45"/>
      <c r="G45"/>
      <c r="H45"/>
      <c r="I45"/>
    </row>
    <row r="46" spans="3:9" x14ac:dyDescent="0.25">
      <c r="C46"/>
      <c r="D46"/>
      <c r="E46"/>
      <c r="F46"/>
      <c r="G46"/>
      <c r="H46"/>
      <c r="I46"/>
    </row>
    <row r="47" spans="3:9" x14ac:dyDescent="0.25">
      <c r="C47"/>
      <c r="D47"/>
      <c r="E47"/>
    </row>
    <row r="48" spans="3:9" x14ac:dyDescent="0.25">
      <c r="C48"/>
      <c r="D48"/>
      <c r="E48"/>
    </row>
    <row r="49" spans="3:5" x14ac:dyDescent="0.25">
      <c r="C49"/>
      <c r="D49"/>
      <c r="E49"/>
    </row>
    <row r="50" spans="3:5" x14ac:dyDescent="0.25">
      <c r="C50"/>
      <c r="D50"/>
      <c r="E50"/>
    </row>
    <row r="51" spans="3:5" x14ac:dyDescent="0.25">
      <c r="C51"/>
      <c r="D51"/>
      <c r="E51"/>
    </row>
    <row r="52" spans="3:5" x14ac:dyDescent="0.25">
      <c r="C52"/>
      <c r="D52"/>
      <c r="E52"/>
    </row>
    <row r="53" spans="3:5" x14ac:dyDescent="0.25">
      <c r="C53"/>
      <c r="D53"/>
      <c r="E53"/>
    </row>
    <row r="54" spans="3:5" x14ac:dyDescent="0.25">
      <c r="C54"/>
      <c r="D54"/>
      <c r="E54"/>
    </row>
    <row r="55" spans="3:5" x14ac:dyDescent="0.25">
      <c r="C55"/>
      <c r="D55"/>
      <c r="E55"/>
    </row>
    <row r="56" spans="3:5" x14ac:dyDescent="0.25">
      <c r="C56"/>
      <c r="D56"/>
      <c r="E56"/>
    </row>
    <row r="57" spans="3:5" x14ac:dyDescent="0.25">
      <c r="C57"/>
      <c r="D57"/>
      <c r="E57"/>
    </row>
    <row r="58" spans="3:5" x14ac:dyDescent="0.25">
      <c r="C58"/>
      <c r="D58"/>
      <c r="E58"/>
    </row>
    <row r="59" spans="3:5" x14ac:dyDescent="0.25">
      <c r="C59"/>
      <c r="D59"/>
      <c r="E59"/>
    </row>
    <row r="60" spans="3:5" x14ac:dyDescent="0.25">
      <c r="C60"/>
      <c r="D60"/>
      <c r="E60"/>
    </row>
    <row r="61" spans="3:5" x14ac:dyDescent="0.25">
      <c r="C61"/>
      <c r="D61"/>
      <c r="E61"/>
    </row>
    <row r="62" spans="3:5" x14ac:dyDescent="0.25">
      <c r="C62"/>
      <c r="D62"/>
      <c r="E62"/>
    </row>
    <row r="63" spans="3:5" x14ac:dyDescent="0.25">
      <c r="C63"/>
      <c r="D63"/>
      <c r="E63"/>
    </row>
    <row r="64" spans="3:5" x14ac:dyDescent="0.25">
      <c r="C64"/>
      <c r="D64"/>
      <c r="E64"/>
    </row>
    <row r="65" spans="3:5" x14ac:dyDescent="0.25">
      <c r="C65"/>
      <c r="D65"/>
      <c r="E65"/>
    </row>
    <row r="66" spans="3:5" x14ac:dyDescent="0.25">
      <c r="C66"/>
      <c r="D66"/>
      <c r="E66"/>
    </row>
    <row r="67" spans="3:5" x14ac:dyDescent="0.25">
      <c r="C67"/>
      <c r="D67"/>
      <c r="E67"/>
    </row>
    <row r="68" spans="3:5" x14ac:dyDescent="0.25">
      <c r="C68"/>
      <c r="D68"/>
      <c r="E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tabColor rgb="FF00B050"/>
  </sheetPr>
  <dimension ref="A3:F9"/>
  <sheetViews>
    <sheetView workbookViewId="0">
      <selection activeCell="F9" sqref="F9"/>
    </sheetView>
  </sheetViews>
  <sheetFormatPr defaultRowHeight="15" x14ac:dyDescent="0.25"/>
  <cols>
    <col min="1" max="1" width="65.7109375" bestFit="1" customWidth="1"/>
    <col min="2" max="2" width="21.5703125" bestFit="1" customWidth="1"/>
    <col min="3" max="5" width="10.42578125" bestFit="1" customWidth="1"/>
    <col min="6" max="20" width="18.7109375" bestFit="1" customWidth="1"/>
    <col min="21" max="22" width="10.42578125" bestFit="1" customWidth="1"/>
    <col min="23" max="28" width="18.7109375" bestFit="1" customWidth="1"/>
    <col min="29" max="70" width="10.42578125" bestFit="1" customWidth="1"/>
    <col min="71" max="72" width="18.7109375" bestFit="1" customWidth="1"/>
    <col min="73" max="78" width="10.42578125" bestFit="1" customWidth="1"/>
    <col min="79" max="79" width="18.7109375" bestFit="1" customWidth="1"/>
  </cols>
  <sheetData>
    <row r="3" spans="1:6" x14ac:dyDescent="0.25">
      <c r="A3" s="3" t="s">
        <v>392</v>
      </c>
      <c r="B3" s="3" t="s">
        <v>339</v>
      </c>
    </row>
    <row r="4" spans="1:6" x14ac:dyDescent="0.25">
      <c r="A4" s="3" t="s">
        <v>330</v>
      </c>
      <c r="B4" s="1">
        <v>46037</v>
      </c>
      <c r="C4" s="1">
        <v>45996</v>
      </c>
      <c r="D4" s="1">
        <v>45992</v>
      </c>
      <c r="E4" s="1">
        <v>45971</v>
      </c>
      <c r="F4" t="s">
        <v>331</v>
      </c>
    </row>
    <row r="5" spans="1:6" x14ac:dyDescent="0.25">
      <c r="A5" s="4" t="s">
        <v>401</v>
      </c>
      <c r="B5" s="88">
        <v>1200</v>
      </c>
      <c r="C5" s="88"/>
      <c r="D5" s="88"/>
      <c r="E5" s="88"/>
      <c r="F5" s="88">
        <v>1200</v>
      </c>
    </row>
    <row r="6" spans="1:6" x14ac:dyDescent="0.25">
      <c r="A6" s="4" t="s">
        <v>448</v>
      </c>
      <c r="B6" s="88"/>
      <c r="C6" s="88">
        <v>2577.5</v>
      </c>
      <c r="D6" s="88"/>
      <c r="E6" s="88"/>
      <c r="F6" s="88">
        <v>2577.5</v>
      </c>
    </row>
    <row r="7" spans="1:6" x14ac:dyDescent="0.25">
      <c r="A7" s="4" t="s">
        <v>451</v>
      </c>
      <c r="B7" s="88"/>
      <c r="C7" s="88"/>
      <c r="D7" s="88">
        <v>500</v>
      </c>
      <c r="E7" s="88"/>
      <c r="F7" s="88">
        <v>500</v>
      </c>
    </row>
    <row r="8" spans="1:6" x14ac:dyDescent="0.25">
      <c r="A8" s="4" t="s">
        <v>639</v>
      </c>
      <c r="B8" s="88"/>
      <c r="C8" s="88"/>
      <c r="D8" s="88"/>
      <c r="E8" s="88">
        <v>160</v>
      </c>
      <c r="F8" s="88">
        <v>160</v>
      </c>
    </row>
    <row r="9" spans="1:6" x14ac:dyDescent="0.25">
      <c r="A9" s="4" t="s">
        <v>331</v>
      </c>
      <c r="B9" s="88">
        <v>1200</v>
      </c>
      <c r="C9" s="88">
        <v>2577.5</v>
      </c>
      <c r="D9" s="88">
        <v>500</v>
      </c>
      <c r="E9" s="88">
        <v>160</v>
      </c>
      <c r="F9" s="88">
        <v>4437.5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C9AF-65D0-4046-A5CC-9D6E388517F1}">
  <dimension ref="A1:BB9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.7109375" style="67" bestFit="1" customWidth="1"/>
    <col min="2" max="2" width="8.5703125" style="67" bestFit="1" customWidth="1"/>
    <col min="3" max="3" width="10" style="67" bestFit="1" customWidth="1"/>
    <col min="4" max="4" width="6.85546875" style="67" bestFit="1" customWidth="1"/>
    <col min="5" max="5" width="13.7109375" style="67" bestFit="1" customWidth="1"/>
    <col min="6" max="6" width="7.5703125" style="67" bestFit="1" customWidth="1"/>
    <col min="7" max="7" width="60.140625" style="67" bestFit="1" customWidth="1"/>
    <col min="8" max="8" width="23.140625" style="67" bestFit="1" customWidth="1"/>
    <col min="9" max="9" width="17.5703125" style="67" bestFit="1" customWidth="1"/>
    <col min="10" max="10" width="52.140625" style="67" bestFit="1" customWidth="1"/>
    <col min="11" max="11" width="12.140625" style="68" bestFit="1" customWidth="1"/>
    <col min="12" max="12" width="14.7109375" style="68" bestFit="1" customWidth="1"/>
    <col min="13" max="13" width="14.85546875" style="68" bestFit="1" customWidth="1"/>
    <col min="14" max="14" width="17.5703125" style="69" bestFit="1" customWidth="1"/>
    <col min="15" max="15" width="17.28515625" style="69" bestFit="1" customWidth="1"/>
    <col min="16" max="16" width="26.42578125" style="67" bestFit="1" customWidth="1"/>
    <col min="17" max="17" width="8.5703125" style="67" bestFit="1" customWidth="1"/>
    <col min="18" max="18" width="8.85546875" style="67" bestFit="1" customWidth="1"/>
    <col min="19" max="19" width="8.5703125" style="67" bestFit="1" customWidth="1"/>
    <col min="20" max="20" width="18.42578125" style="67" bestFit="1" customWidth="1"/>
    <col min="21" max="21" width="20.85546875" style="67" bestFit="1" customWidth="1"/>
    <col min="22" max="22" width="14.85546875" style="67" bestFit="1" customWidth="1"/>
    <col min="23" max="23" width="25.28515625" style="67" bestFit="1" customWidth="1"/>
    <col min="24" max="24" width="24.5703125" style="67" bestFit="1" customWidth="1"/>
    <col min="25" max="25" width="10" style="67" bestFit="1" customWidth="1"/>
    <col min="26" max="26" width="21.85546875" style="67" bestFit="1" customWidth="1"/>
    <col min="27" max="27" width="14.28515625" style="67" bestFit="1" customWidth="1"/>
    <col min="28" max="28" width="29.7109375" style="67" bestFit="1" customWidth="1"/>
    <col min="29" max="29" width="10.7109375" style="67" bestFit="1" customWidth="1"/>
    <col min="30" max="30" width="10" style="67" bestFit="1" customWidth="1"/>
    <col min="31" max="31" width="27.85546875" style="67" bestFit="1" customWidth="1"/>
    <col min="32" max="32" width="12.42578125" style="67" bestFit="1" customWidth="1"/>
    <col min="33" max="33" width="17.5703125" style="67" bestFit="1" customWidth="1"/>
    <col min="34" max="34" width="16.85546875" style="67" bestFit="1" customWidth="1"/>
    <col min="35" max="35" width="11.28515625" style="4" bestFit="1" customWidth="1"/>
    <col min="36" max="36" width="14.140625" style="4" bestFit="1" customWidth="1"/>
    <col min="37" max="37" width="25.7109375" style="4" bestFit="1" customWidth="1"/>
    <col min="38" max="38" width="9.140625" style="70" bestFit="1" customWidth="1"/>
    <col min="39" max="39" width="7" style="70" bestFit="1" customWidth="1"/>
    <col min="40" max="41" width="15.42578125" style="70" bestFit="1" customWidth="1"/>
    <col min="42" max="42" width="7.140625" style="70" bestFit="1" customWidth="1"/>
    <col min="43" max="43" width="12.28515625" style="71" bestFit="1" customWidth="1"/>
    <col min="44" max="44" width="14.7109375" style="71" bestFit="1" customWidth="1"/>
    <col min="45" max="45" width="6.5703125" style="72" bestFit="1" customWidth="1"/>
    <col min="46" max="46" width="12" style="71" bestFit="1" customWidth="1"/>
    <col min="47" max="47" width="9" style="71" bestFit="1" customWidth="1"/>
    <col min="48" max="48" width="15.42578125" style="71" bestFit="1" customWidth="1"/>
    <col min="49" max="49" width="50.5703125" style="71" bestFit="1" customWidth="1"/>
    <col min="50" max="50" width="38.28515625" style="71" bestFit="1" customWidth="1"/>
    <col min="51" max="51" width="33.5703125" style="71" bestFit="1" customWidth="1"/>
    <col min="52" max="52" width="30.140625" style="71" bestFit="1" customWidth="1"/>
    <col min="53" max="53" width="40.5703125" style="73" bestFit="1" customWidth="1"/>
    <col min="54" max="54" width="188.140625" style="73" bestFit="1" customWidth="1"/>
    <col min="55" max="16384" width="9.140625" style="74"/>
  </cols>
  <sheetData>
    <row r="1" spans="1:54" s="58" customFormat="1" x14ac:dyDescent="0.25">
      <c r="A1" s="61" t="s">
        <v>0</v>
      </c>
      <c r="B1" s="62" t="s">
        <v>1</v>
      </c>
      <c r="C1" s="62" t="s">
        <v>2</v>
      </c>
      <c r="D1" s="62" t="s">
        <v>3</v>
      </c>
      <c r="E1" s="84" t="s">
        <v>4</v>
      </c>
      <c r="F1" s="62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8" t="s">
        <v>10</v>
      </c>
      <c r="L1" s="62" t="s">
        <v>11</v>
      </c>
      <c r="M1" s="58" t="s">
        <v>12</v>
      </c>
      <c r="N1" s="84" t="s">
        <v>13</v>
      </c>
      <c r="O1" s="84" t="s">
        <v>14</v>
      </c>
      <c r="P1" s="61" t="s">
        <v>16</v>
      </c>
      <c r="Q1" s="62" t="s">
        <v>17</v>
      </c>
      <c r="R1" s="62" t="s">
        <v>18</v>
      </c>
      <c r="S1" s="61" t="s">
        <v>19</v>
      </c>
      <c r="T1" s="61" t="s">
        <v>20</v>
      </c>
      <c r="U1" s="61" t="s">
        <v>21</v>
      </c>
      <c r="V1" s="61" t="s">
        <v>22</v>
      </c>
      <c r="W1" s="61" t="s">
        <v>23</v>
      </c>
      <c r="X1" s="61" t="s">
        <v>24</v>
      </c>
      <c r="Y1" s="62" t="s">
        <v>25</v>
      </c>
      <c r="Z1" s="61" t="s">
        <v>327</v>
      </c>
      <c r="AA1" s="62" t="s">
        <v>26</v>
      </c>
      <c r="AB1" s="61" t="s">
        <v>328</v>
      </c>
      <c r="AC1" s="62" t="s">
        <v>27</v>
      </c>
      <c r="AD1" s="62" t="s">
        <v>25</v>
      </c>
      <c r="AE1" s="61" t="s">
        <v>69</v>
      </c>
      <c r="AF1" s="62" t="s">
        <v>70</v>
      </c>
      <c r="AG1" s="61" t="s">
        <v>71</v>
      </c>
      <c r="AH1" s="63" t="s">
        <v>343</v>
      </c>
      <c r="AI1" s="58" t="s">
        <v>389</v>
      </c>
      <c r="AJ1" s="61" t="s">
        <v>15</v>
      </c>
      <c r="AK1" s="84" t="s">
        <v>390</v>
      </c>
      <c r="AL1" s="60" t="s">
        <v>344</v>
      </c>
      <c r="AM1" s="60" t="s">
        <v>358</v>
      </c>
      <c r="AN1" s="64" t="s">
        <v>345</v>
      </c>
      <c r="AO1" s="64" t="s">
        <v>346</v>
      </c>
      <c r="AP1" s="65" t="s">
        <v>332</v>
      </c>
      <c r="AQ1" s="59" t="s">
        <v>72</v>
      </c>
      <c r="AR1" s="59" t="s">
        <v>73</v>
      </c>
      <c r="AS1" s="59" t="s">
        <v>68</v>
      </c>
      <c r="AT1" s="59" t="s">
        <v>329</v>
      </c>
      <c r="AU1" s="59" t="s">
        <v>338</v>
      </c>
      <c r="AV1" s="59" t="s">
        <v>391</v>
      </c>
      <c r="AW1" s="59" t="s">
        <v>355</v>
      </c>
      <c r="AX1" s="59" t="s">
        <v>356</v>
      </c>
      <c r="AY1" s="59" t="s">
        <v>357</v>
      </c>
      <c r="AZ1" s="59" t="s">
        <v>359</v>
      </c>
      <c r="BA1" s="59" t="s">
        <v>378</v>
      </c>
      <c r="BB1" s="59" t="s">
        <v>360</v>
      </c>
    </row>
    <row r="2" spans="1:54" x14ac:dyDescent="0.25">
      <c r="A2" s="75" t="s">
        <v>380</v>
      </c>
      <c r="B2" s="76">
        <v>1</v>
      </c>
      <c r="C2" s="76">
        <v>557</v>
      </c>
      <c r="D2" s="76">
        <v>800</v>
      </c>
      <c r="E2" s="85">
        <v>45964</v>
      </c>
      <c r="F2" s="76">
        <v>58</v>
      </c>
      <c r="G2" s="75" t="s">
        <v>578</v>
      </c>
      <c r="H2" s="75" t="s">
        <v>580</v>
      </c>
      <c r="I2" s="75" t="s">
        <v>581</v>
      </c>
      <c r="J2" s="75" t="s">
        <v>582</v>
      </c>
      <c r="K2" s="68">
        <v>6400</v>
      </c>
      <c r="L2" s="86"/>
      <c r="M2" s="68">
        <v>6400</v>
      </c>
      <c r="N2" s="85"/>
      <c r="O2" s="85">
        <v>45991</v>
      </c>
      <c r="P2" s="75" t="s">
        <v>414</v>
      </c>
      <c r="Q2" s="76">
        <v>8</v>
      </c>
      <c r="R2" s="76">
        <v>10</v>
      </c>
      <c r="S2" s="75" t="s">
        <v>37</v>
      </c>
      <c r="T2" s="75" t="s">
        <v>381</v>
      </c>
      <c r="U2" s="75" t="s">
        <v>415</v>
      </c>
      <c r="V2" s="75" t="s">
        <v>416</v>
      </c>
      <c r="W2" s="75" t="s">
        <v>578</v>
      </c>
      <c r="X2" s="75" t="s">
        <v>579</v>
      </c>
      <c r="Y2" s="76">
        <v>5</v>
      </c>
      <c r="Z2" s="75" t="s">
        <v>33</v>
      </c>
      <c r="AA2" s="76">
        <v>978</v>
      </c>
      <c r="AB2" s="75" t="s">
        <v>583</v>
      </c>
      <c r="AC2" s="76">
        <v>180</v>
      </c>
      <c r="AD2" s="76">
        <v>5</v>
      </c>
      <c r="AE2" s="75" t="s">
        <v>383</v>
      </c>
      <c r="AF2" s="76">
        <v>1</v>
      </c>
      <c r="AG2" s="75" t="s">
        <v>418</v>
      </c>
      <c r="AH2" s="76">
        <v>70</v>
      </c>
      <c r="AJ2" s="77" t="s">
        <v>584</v>
      </c>
      <c r="AK2" s="87">
        <v>45981</v>
      </c>
      <c r="AL2" s="70" t="s">
        <v>366</v>
      </c>
      <c r="AM2" s="70">
        <v>1</v>
      </c>
      <c r="AN2" s="78"/>
      <c r="AO2" s="78"/>
      <c r="AP2" s="79"/>
      <c r="AQ2" s="71" t="str">
        <f>_xlfn.CONCAT(C2,"/",D2)</f>
        <v>557/800</v>
      </c>
      <c r="AR2" s="71" t="str">
        <f>IF(D2=0,"DA CONTRATTO","SPOT")</f>
        <v>SPOT</v>
      </c>
      <c r="AS2" s="72" t="str">
        <f>IF(AD2=5,"P","C")</f>
        <v>P</v>
      </c>
      <c r="AT2" s="71">
        <f>VLOOKUP(S2,'FILE PALLETTIZZAZIONI DB SRL'!B:H,5,FALSE)</f>
        <v>2</v>
      </c>
      <c r="AU2" s="71" t="str">
        <f>TEXT(N2,"gggg")</f>
        <v>sabato</v>
      </c>
      <c r="AV2" s="71">
        <f>WEEKNUM(N2)</f>
        <v>0</v>
      </c>
      <c r="AW2" s="71" t="str">
        <f>IF(AND(ISBLANK(N2),AS2="P"), "ATTENZIONE: Data produzione non pianificata", IF(AND(ISBLANK(N2),AS2="C"), "ATTENZIONE: Data arrivo merce acquisti non presente", IF(O2-N2&gt;=AP2, "Data sped. utile INSERITA", "ATTENZIONE: GG. resa non adeguati")))</f>
        <v>ATTENZIONE: Data produzione non pianificata</v>
      </c>
      <c r="AX2" s="71" t="str">
        <f ca="1">IF(ISBLANK(O2), "ATTENZIONE: Data non inserita", IF(O2&lt;=param!B2, "ATTENZIONE: Ritardo, Avvertire il cliente", "Data cons. rich. INSERITA"))</f>
        <v>Data cons. rich. INSERITA</v>
      </c>
      <c r="AY2" s="71" t="str">
        <f>IF(OR(ISBLANK(AP2),ISBLANK(AH2)), "ATTENZIONE: Vettore non associato", IF(V2="VETTORE", "Tipo spedizione: VETTORE", IF(V2="DESTINATARIO", "Tipo spedizione: DESTINATARIO", IF(ISBLANK(V2), "ATTENZIONE: Vettore vuoto", "?"))))</f>
        <v>ATTENZIONE: Vettore non associato</v>
      </c>
      <c r="AZ2" s="71" t="str">
        <f>IF(AM2=1, "Città OK", "ATTENZIONE: CAP non presente")</f>
        <v>Città OK</v>
      </c>
      <c r="BA2" s="73" t="s">
        <v>387</v>
      </c>
      <c r="BB2" s="73" t="str">
        <f ca="1">_xlfn.CONCAT(AW2," - ",AX2," - ",AY2," - ",AZ2," - ","Data: ",BA2)</f>
        <v>ATTENZIONE: Data produzione non pianificata - Data cons. rich. INSERITA - ATTENZIONE: Vettore non associato - Città OK - Data: ATTENZIONE: Giorno congruo presa vettore</v>
      </c>
    </row>
    <row r="3" spans="1:54" x14ac:dyDescent="0.25">
      <c r="A3" s="75" t="s">
        <v>380</v>
      </c>
      <c r="B3" s="76">
        <v>2</v>
      </c>
      <c r="C3" s="76">
        <v>802</v>
      </c>
      <c r="D3" s="76">
        <v>0</v>
      </c>
      <c r="E3" s="85">
        <v>45975</v>
      </c>
      <c r="F3" s="76">
        <v>64</v>
      </c>
      <c r="G3" s="75" t="s">
        <v>678</v>
      </c>
      <c r="H3" s="75" t="s">
        <v>718</v>
      </c>
      <c r="I3" s="75" t="s">
        <v>719</v>
      </c>
      <c r="J3" s="75" t="s">
        <v>720</v>
      </c>
      <c r="K3" s="68">
        <v>3072</v>
      </c>
      <c r="L3" s="86"/>
      <c r="M3" s="68">
        <v>3072</v>
      </c>
      <c r="N3" s="85"/>
      <c r="O3" s="85">
        <v>46001</v>
      </c>
      <c r="P3" s="75" t="s">
        <v>414</v>
      </c>
      <c r="Q3" s="76">
        <v>8</v>
      </c>
      <c r="R3" s="76">
        <v>10</v>
      </c>
      <c r="S3" s="75" t="s">
        <v>29</v>
      </c>
      <c r="T3" s="75" t="s">
        <v>381</v>
      </c>
      <c r="U3" s="75" t="s">
        <v>415</v>
      </c>
      <c r="V3" s="75" t="s">
        <v>416</v>
      </c>
      <c r="W3" s="75" t="s">
        <v>678</v>
      </c>
      <c r="X3" s="75" t="s">
        <v>682</v>
      </c>
      <c r="Y3" s="76">
        <v>5</v>
      </c>
      <c r="Z3" s="75" t="s">
        <v>669</v>
      </c>
      <c r="AA3" s="76">
        <v>216</v>
      </c>
      <c r="AB3" s="75" t="s">
        <v>721</v>
      </c>
      <c r="AC3" s="76">
        <v>125</v>
      </c>
      <c r="AD3" s="76">
        <v>5</v>
      </c>
      <c r="AE3" s="75" t="s">
        <v>383</v>
      </c>
      <c r="AF3" s="76">
        <v>1</v>
      </c>
      <c r="AG3" s="75" t="s">
        <v>418</v>
      </c>
      <c r="AH3" s="76">
        <v>70</v>
      </c>
      <c r="AJ3" s="77" t="s">
        <v>722</v>
      </c>
      <c r="AK3" s="87"/>
      <c r="AL3" s="70" t="s">
        <v>366</v>
      </c>
      <c r="AM3" s="70">
        <v>1</v>
      </c>
      <c r="AN3" s="78"/>
      <c r="AO3" s="78"/>
      <c r="AP3" s="79"/>
      <c r="AQ3" s="71" t="str">
        <f>_xlfn.CONCAT(C3,"/",D3)</f>
        <v>802/0</v>
      </c>
      <c r="AR3" s="71" t="str">
        <f>IF(D3=0,"DA CONTRATTO","SPOT")</f>
        <v>DA CONTRATTO</v>
      </c>
      <c r="AS3" s="72" t="str">
        <f>IF(AD3=5,"P","C")</f>
        <v>P</v>
      </c>
      <c r="AT3" s="71">
        <f>VLOOKUP(S3,'FILE PALLETTIZZAZIONI DB SRL'!B:H,5,FALSE)</f>
        <v>2</v>
      </c>
      <c r="AU3" s="71" t="str">
        <f>TEXT(N3,"gggg")</f>
        <v>sabato</v>
      </c>
      <c r="AV3" s="71">
        <f>WEEKNUM(N3)</f>
        <v>0</v>
      </c>
      <c r="AW3" s="71" t="str">
        <f>IF(AND(ISBLANK(N3),AS3="P"), "ATTENZIONE: Data produzione non pianificata", IF(AND(ISBLANK(N3),AS3="C"), "ATTENZIONE: Data arrivo merce acquisti non presente", IF(O3-N3&gt;=AP3, "Data sped. utile INSERITA", "ATTENZIONE: GG. resa non adeguati")))</f>
        <v>ATTENZIONE: Data produzione non pianificata</v>
      </c>
      <c r="AX3" s="71" t="str">
        <f ca="1">IF(ISBLANK(O3), "ATTENZIONE: Data non inserita", IF(O3&lt;=param!B2, "ATTENZIONE: Ritardo, Avvertire il cliente", "Data cons. rich. INSERITA"))</f>
        <v>Data cons. rich. INSERITA</v>
      </c>
      <c r="AY3" s="71" t="str">
        <f>IF(OR(ISBLANK(AP3),ISBLANK(AH3)), "ATTENZIONE: Vettore non associato", IF(V3="VETTORE", "Tipo spedizione: VETTORE", IF(V3="DESTINATARIO", "Tipo spedizione: DESTINATARIO", IF(ISBLANK(V3), "ATTENZIONE: Vettore vuoto", "?"))))</f>
        <v>ATTENZIONE: Vettore non associato</v>
      </c>
      <c r="AZ3" s="71" t="str">
        <f>IF(AM3=1, "Città OK", "ATTENZIONE: CAP non presente")</f>
        <v>Città OK</v>
      </c>
      <c r="BA3" s="73" t="s">
        <v>387</v>
      </c>
      <c r="BB3" s="73" t="str">
        <f ca="1">_xlfn.CONCAT(AW3," - ",AX3," - ",AY3," - ",AZ3," - ","Data: ",BA3)</f>
        <v>ATTENZIONE: Data produzione non pianificata - Data cons. rich. INSERITA - ATTENZIONE: Vettore non associato - Città OK - Data: ATTENZIONE: Giorno congruo presa vettore</v>
      </c>
    </row>
    <row r="4" spans="1:54" x14ac:dyDescent="0.25">
      <c r="A4" s="75" t="s">
        <v>380</v>
      </c>
      <c r="B4" s="76">
        <v>3</v>
      </c>
      <c r="C4" s="76">
        <v>563</v>
      </c>
      <c r="D4" s="76">
        <v>800</v>
      </c>
      <c r="E4" s="85">
        <v>45972</v>
      </c>
      <c r="F4" s="76">
        <v>64</v>
      </c>
      <c r="G4" s="75" t="s">
        <v>678</v>
      </c>
      <c r="H4" s="75" t="s">
        <v>679</v>
      </c>
      <c r="I4" s="75" t="s">
        <v>680</v>
      </c>
      <c r="J4" s="75" t="s">
        <v>681</v>
      </c>
      <c r="K4" s="68">
        <v>1000</v>
      </c>
      <c r="L4" s="86"/>
      <c r="M4" s="68">
        <v>1000</v>
      </c>
      <c r="N4" s="85"/>
      <c r="O4" s="85">
        <v>46001</v>
      </c>
      <c r="P4" s="75" t="s">
        <v>30</v>
      </c>
      <c r="Q4" s="76">
        <v>8</v>
      </c>
      <c r="R4" s="76">
        <v>10</v>
      </c>
      <c r="S4" s="75" t="s">
        <v>47</v>
      </c>
      <c r="T4" s="75" t="s">
        <v>381</v>
      </c>
      <c r="U4" s="75" t="s">
        <v>415</v>
      </c>
      <c r="V4" s="75" t="s">
        <v>416</v>
      </c>
      <c r="W4" s="75" t="s">
        <v>678</v>
      </c>
      <c r="X4" s="75" t="s">
        <v>682</v>
      </c>
      <c r="Y4" s="76">
        <v>5</v>
      </c>
      <c r="Z4" s="75" t="s">
        <v>419</v>
      </c>
      <c r="AA4" s="76">
        <v>213</v>
      </c>
      <c r="AB4" s="75" t="s">
        <v>33</v>
      </c>
      <c r="AC4" s="76">
        <v>235</v>
      </c>
      <c r="AD4" s="76">
        <v>5</v>
      </c>
      <c r="AE4" s="75" t="s">
        <v>383</v>
      </c>
      <c r="AF4" s="76">
        <v>1</v>
      </c>
      <c r="AG4" s="75" t="s">
        <v>418</v>
      </c>
      <c r="AH4" s="76">
        <v>1</v>
      </c>
      <c r="AJ4" s="77" t="s">
        <v>683</v>
      </c>
      <c r="AK4" s="87">
        <v>45982</v>
      </c>
      <c r="AL4" s="70" t="s">
        <v>366</v>
      </c>
      <c r="AM4" s="70">
        <v>1</v>
      </c>
      <c r="AN4" s="78" t="s">
        <v>347</v>
      </c>
      <c r="AO4" s="78" t="s">
        <v>334</v>
      </c>
      <c r="AP4" s="79">
        <v>5</v>
      </c>
      <c r="AQ4" s="71" t="str">
        <f>_xlfn.CONCAT(C4,"/",D4)</f>
        <v>563/800</v>
      </c>
      <c r="AR4" s="71" t="str">
        <f>IF(D4=0,"DA CONTRATTO","SPOT")</f>
        <v>SPOT</v>
      </c>
      <c r="AS4" s="72" t="str">
        <f>IF(AD4=5,"P","C")</f>
        <v>P</v>
      </c>
      <c r="AT4" s="71">
        <f>VLOOKUP(S4,'FILE PALLETTIZZAZIONI DB SRL'!B:H,5,FALSE)</f>
        <v>2</v>
      </c>
      <c r="AU4" s="71" t="str">
        <f>TEXT(N4,"gggg")</f>
        <v>sabato</v>
      </c>
      <c r="AV4" s="71">
        <f>WEEKNUM(N4)</f>
        <v>0</v>
      </c>
      <c r="AW4" s="71" t="str">
        <f>IF(AND(ISBLANK(N4),AS4="P"), "ATTENZIONE: Data produzione non pianificata", IF(AND(ISBLANK(N4),AS4="C"), "ATTENZIONE: Data arrivo merce acquisti non presente", IF(O4-N4&gt;=AP4, "Data sped. utile INSERITA", "ATTENZIONE: GG. resa non adeguati")))</f>
        <v>ATTENZIONE: Data produzione non pianificata</v>
      </c>
      <c r="AX4" s="71" t="str">
        <f ca="1">IF(ISBLANK(O4), "ATTENZIONE: Data non inserita", IF(O4&lt;=param!B2, "ATTENZIONE: Ritardo, Avvertire il cliente", "Data cons. rich. INSERITA"))</f>
        <v>Data cons. rich. INSERITA</v>
      </c>
      <c r="AY4" s="71" t="str">
        <f>IF(OR(ISBLANK(AP4),ISBLANK(AH4)), "ATTENZIONE: Vettore non associato", IF(V4="VETTORE", "Tipo spedizione: VETTORE", IF(V4="DESTINATARIO", "Tipo spedizione: DESTINATARIO", IF(ISBLANK(V4), "ATTENZIONE: Vettore vuoto", "?"))))</f>
        <v>Tipo spedizione: VETTORE</v>
      </c>
      <c r="AZ4" s="71" t="str">
        <f>IF(AM4=1, "Città OK", "ATTENZIONE: CAP non presente")</f>
        <v>Città OK</v>
      </c>
      <c r="BA4" s="73" t="s">
        <v>387</v>
      </c>
      <c r="BB4" s="73" t="str">
        <f ca="1">_xlfn.CONCAT(AW4," - ",AX4," - ",AY4," - ",AZ4," - ","Data: ",BA4)</f>
        <v>ATTENZIONE: Data produzione non pianificata - Data cons. rich. INSERITA - Tipo spedizione: VETTORE - Città OK - Data: ATTENZIONE: Giorno congruo presa vettore</v>
      </c>
    </row>
    <row r="5" spans="1:54" x14ac:dyDescent="0.25">
      <c r="A5" s="75" t="s">
        <v>380</v>
      </c>
      <c r="B5" s="76">
        <v>4</v>
      </c>
      <c r="C5" s="76">
        <v>244</v>
      </c>
      <c r="D5" s="76">
        <v>0</v>
      </c>
      <c r="E5" s="85">
        <v>45713</v>
      </c>
      <c r="F5" s="76">
        <v>113</v>
      </c>
      <c r="G5" s="75" t="s">
        <v>544</v>
      </c>
      <c r="H5" s="75" t="s">
        <v>545</v>
      </c>
      <c r="I5" s="75" t="s">
        <v>546</v>
      </c>
      <c r="J5" s="75" t="s">
        <v>547</v>
      </c>
      <c r="K5" s="68">
        <v>640</v>
      </c>
      <c r="L5" s="86"/>
      <c r="M5" s="68">
        <v>640</v>
      </c>
      <c r="N5" s="85"/>
      <c r="O5" s="85"/>
      <c r="P5" s="75" t="s">
        <v>30</v>
      </c>
      <c r="Q5" s="76">
        <v>8</v>
      </c>
      <c r="R5" s="76">
        <v>10</v>
      </c>
      <c r="S5" s="75" t="s">
        <v>32</v>
      </c>
      <c r="T5" s="75" t="s">
        <v>381</v>
      </c>
      <c r="U5" s="75" t="s">
        <v>415</v>
      </c>
      <c r="V5" s="75" t="s">
        <v>416</v>
      </c>
      <c r="W5" s="75" t="s">
        <v>544</v>
      </c>
      <c r="X5" s="75" t="s">
        <v>548</v>
      </c>
      <c r="Y5" s="76">
        <v>4</v>
      </c>
      <c r="Z5" s="75" t="s">
        <v>33</v>
      </c>
      <c r="AA5" s="76">
        <v>830</v>
      </c>
      <c r="AB5" s="75" t="s">
        <v>549</v>
      </c>
      <c r="AC5" s="76">
        <v>180</v>
      </c>
      <c r="AD5" s="76">
        <v>4</v>
      </c>
      <c r="AE5" s="75" t="s">
        <v>384</v>
      </c>
      <c r="AF5" s="76">
        <v>1</v>
      </c>
      <c r="AG5" s="75" t="s">
        <v>418</v>
      </c>
      <c r="AH5" s="76">
        <v>1</v>
      </c>
      <c r="AJ5" s="77" t="s">
        <v>550</v>
      </c>
      <c r="AK5" s="87"/>
      <c r="AL5" s="70" t="s">
        <v>366</v>
      </c>
      <c r="AM5" s="70">
        <v>1</v>
      </c>
      <c r="AN5" s="78" t="s">
        <v>347</v>
      </c>
      <c r="AO5" s="78" t="s">
        <v>334</v>
      </c>
      <c r="AP5" s="79">
        <v>5</v>
      </c>
      <c r="AQ5" s="71" t="str">
        <f>_xlfn.CONCAT(C5,"/",D5)</f>
        <v>244/0</v>
      </c>
      <c r="AR5" s="71" t="str">
        <f>IF(D5=0,"DA CONTRATTO","SPOT")</f>
        <v>DA CONTRATTO</v>
      </c>
      <c r="AS5" s="72" t="str">
        <f>IF(AD5=5,"P","C")</f>
        <v>C</v>
      </c>
      <c r="AT5" s="71">
        <f>VLOOKUP(S5,'FILE PALLETTIZZAZIONI DB SRL'!B:H,5,FALSE)</f>
        <v>1</v>
      </c>
      <c r="AU5" s="71" t="str">
        <f>TEXT(N5,"gggg")</f>
        <v>sabato</v>
      </c>
      <c r="AV5" s="71">
        <f>WEEKNUM(N5)</f>
        <v>0</v>
      </c>
      <c r="AW5" s="71" t="str">
        <f>IF(AND(ISBLANK(N5),AS5="P"), "ATTENZIONE: Data produzione non pianificata", IF(AND(ISBLANK(N5),AS5="C"), "ATTENZIONE: Data arrivo merce acquisti non presente", IF(O5-N5&gt;=AP5, "Data sped. utile INSERITA", "ATTENZIONE: GG. resa non adeguati")))</f>
        <v>ATTENZIONE: Data arrivo merce acquisti non presente</v>
      </c>
      <c r="AX5" s="71" t="str">
        <f>IF(ISBLANK(O5), "ATTENZIONE: Data non inserita", IF(O5&lt;=param!B2, "ATTENZIONE: Ritardo, Avvertire il cliente", "Data cons. rich. INSERITA"))</f>
        <v>ATTENZIONE: Data non inserita</v>
      </c>
      <c r="AY5" s="71" t="str">
        <f>IF(OR(ISBLANK(AP5),ISBLANK(AH5)), "ATTENZIONE: Vettore non associato", IF(V5="VETTORE", "Tipo spedizione: VETTORE", IF(V5="DESTINATARIO", "Tipo spedizione: DESTINATARIO", IF(ISBLANK(V5), "ATTENZIONE: Vettore vuoto", "?"))))</f>
        <v>Tipo spedizione: VETTORE</v>
      </c>
      <c r="AZ5" s="71" t="str">
        <f>IF(AM5=1, "Città OK", "ATTENZIONE: CAP non presente")</f>
        <v>Città OK</v>
      </c>
      <c r="BA5" s="73" t="s">
        <v>387</v>
      </c>
      <c r="BB5" s="73" t="str">
        <f>_xlfn.CONCAT(AW5," - ",AX5," - ",AY5," - ",AZ5," - ","Data: ",BA5)</f>
        <v>ATTENZIONE: Data arrivo merce acquisti non presente - ATTENZIONE: Data non inserita - Tipo spedizione: VETTORE - Città OK - Data: ATTENZIONE: Giorno congruo presa vettore</v>
      </c>
    </row>
    <row r="6" spans="1:54" x14ac:dyDescent="0.25">
      <c r="A6" s="75" t="s">
        <v>380</v>
      </c>
      <c r="B6" s="76">
        <v>5</v>
      </c>
      <c r="C6" s="76">
        <v>266</v>
      </c>
      <c r="D6" s="76">
        <v>0</v>
      </c>
      <c r="E6" s="85">
        <v>45715</v>
      </c>
      <c r="F6" s="76">
        <v>113</v>
      </c>
      <c r="G6" s="75" t="s">
        <v>544</v>
      </c>
      <c r="H6" s="75" t="s">
        <v>545</v>
      </c>
      <c r="I6" s="75" t="s">
        <v>546</v>
      </c>
      <c r="J6" s="75" t="s">
        <v>547</v>
      </c>
      <c r="K6" s="68">
        <v>640</v>
      </c>
      <c r="L6" s="86"/>
      <c r="M6" s="68">
        <v>640</v>
      </c>
      <c r="N6" s="85"/>
      <c r="O6" s="85"/>
      <c r="P6" s="75" t="s">
        <v>30</v>
      </c>
      <c r="Q6" s="76">
        <v>8</v>
      </c>
      <c r="R6" s="76">
        <v>10</v>
      </c>
      <c r="S6" s="75" t="s">
        <v>32</v>
      </c>
      <c r="T6" s="75" t="s">
        <v>381</v>
      </c>
      <c r="U6" s="75" t="s">
        <v>415</v>
      </c>
      <c r="V6" s="75" t="s">
        <v>416</v>
      </c>
      <c r="W6" s="75" t="s">
        <v>544</v>
      </c>
      <c r="X6" s="75" t="s">
        <v>548</v>
      </c>
      <c r="Y6" s="76">
        <v>4</v>
      </c>
      <c r="Z6" s="75" t="s">
        <v>33</v>
      </c>
      <c r="AA6" s="76">
        <v>830</v>
      </c>
      <c r="AB6" s="75" t="s">
        <v>549</v>
      </c>
      <c r="AC6" s="76">
        <v>180</v>
      </c>
      <c r="AD6" s="76">
        <v>4</v>
      </c>
      <c r="AE6" s="75" t="s">
        <v>384</v>
      </c>
      <c r="AF6" s="76">
        <v>1</v>
      </c>
      <c r="AG6" s="75" t="s">
        <v>418</v>
      </c>
      <c r="AH6" s="76">
        <v>1</v>
      </c>
      <c r="AJ6" s="77" t="s">
        <v>550</v>
      </c>
      <c r="AK6" s="87"/>
      <c r="AL6" s="70" t="s">
        <v>366</v>
      </c>
      <c r="AM6" s="70">
        <v>1</v>
      </c>
      <c r="AN6" s="78" t="s">
        <v>347</v>
      </c>
      <c r="AO6" s="78" t="s">
        <v>334</v>
      </c>
      <c r="AP6" s="79">
        <v>5</v>
      </c>
      <c r="AQ6" s="71" t="str">
        <f>_xlfn.CONCAT(C6,"/",D6)</f>
        <v>266/0</v>
      </c>
      <c r="AR6" s="71" t="str">
        <f>IF(D6=0,"DA CONTRATTO","SPOT")</f>
        <v>DA CONTRATTO</v>
      </c>
      <c r="AS6" s="72" t="str">
        <f>IF(AD6=5,"P","C")</f>
        <v>C</v>
      </c>
      <c r="AT6" s="71">
        <f>VLOOKUP(S6,'FILE PALLETTIZZAZIONI DB SRL'!B:H,5,FALSE)</f>
        <v>1</v>
      </c>
      <c r="AU6" s="71" t="str">
        <f>TEXT(N6,"gggg")</f>
        <v>sabato</v>
      </c>
      <c r="AV6" s="71">
        <f>WEEKNUM(N6)</f>
        <v>0</v>
      </c>
      <c r="AW6" s="71" t="str">
        <f>IF(AND(ISBLANK(N6),AS6="P"), "ATTENZIONE: Data produzione non pianificata", IF(AND(ISBLANK(N6),AS6="C"), "ATTENZIONE: Data arrivo merce acquisti non presente", IF(O6-N6&gt;=AP6, "Data sped. utile INSERITA", "ATTENZIONE: GG. resa non adeguati")))</f>
        <v>ATTENZIONE: Data arrivo merce acquisti non presente</v>
      </c>
      <c r="AX6" s="71" t="str">
        <f>IF(ISBLANK(O6), "ATTENZIONE: Data non inserita", IF(O6&lt;=param!B2, "ATTENZIONE: Ritardo, Avvertire il cliente", "Data cons. rich. INSERITA"))</f>
        <v>ATTENZIONE: Data non inserita</v>
      </c>
      <c r="AY6" s="71" t="str">
        <f>IF(OR(ISBLANK(AP6),ISBLANK(AH6)), "ATTENZIONE: Vettore non associato", IF(V6="VETTORE", "Tipo spedizione: VETTORE", IF(V6="DESTINATARIO", "Tipo spedizione: DESTINATARIO", IF(ISBLANK(V6), "ATTENZIONE: Vettore vuoto", "?"))))</f>
        <v>Tipo spedizione: VETTORE</v>
      </c>
      <c r="AZ6" s="71" t="str">
        <f>IF(AM6=1, "Città OK", "ATTENZIONE: CAP non presente")</f>
        <v>Città OK</v>
      </c>
      <c r="BA6" s="73" t="s">
        <v>387</v>
      </c>
      <c r="BB6" s="73" t="str">
        <f>_xlfn.CONCAT(AW6," - ",AX6," - ",AY6," - ",AZ6," - ","Data: ",BA6)</f>
        <v>ATTENZIONE: Data arrivo merce acquisti non presente - ATTENZIONE: Data non inserita - Tipo spedizione: VETTORE - Città OK - Data: ATTENZIONE: Giorno congruo presa vettore</v>
      </c>
    </row>
    <row r="7" spans="1:54" x14ac:dyDescent="0.25">
      <c r="A7" s="75" t="s">
        <v>380</v>
      </c>
      <c r="B7" s="76">
        <v>6</v>
      </c>
      <c r="C7" s="76">
        <v>768</v>
      </c>
      <c r="D7" s="76">
        <v>0</v>
      </c>
      <c r="E7" s="85">
        <v>45958</v>
      </c>
      <c r="F7" s="76">
        <v>284</v>
      </c>
      <c r="G7" s="75" t="s">
        <v>448</v>
      </c>
      <c r="H7" s="75" t="s">
        <v>540</v>
      </c>
      <c r="I7" s="75" t="s">
        <v>541</v>
      </c>
      <c r="J7" s="75" t="s">
        <v>513</v>
      </c>
      <c r="K7" s="68">
        <v>0.5</v>
      </c>
      <c r="L7" s="86"/>
      <c r="M7" s="68">
        <v>0.5</v>
      </c>
      <c r="N7" s="85"/>
      <c r="O7" s="85">
        <v>45980</v>
      </c>
      <c r="P7" s="75" t="s">
        <v>414</v>
      </c>
      <c r="Q7" s="76">
        <v>8</v>
      </c>
      <c r="R7" s="76">
        <v>10</v>
      </c>
      <c r="S7" s="75" t="s">
        <v>509</v>
      </c>
      <c r="T7" s="75" t="s">
        <v>783</v>
      </c>
      <c r="U7" s="75" t="s">
        <v>415</v>
      </c>
      <c r="V7" s="75" t="s">
        <v>416</v>
      </c>
      <c r="W7" s="75" t="s">
        <v>449</v>
      </c>
      <c r="X7" s="75" t="s">
        <v>450</v>
      </c>
      <c r="Y7" s="76">
        <v>4</v>
      </c>
      <c r="Z7" s="75" t="s">
        <v>425</v>
      </c>
      <c r="AA7" s="76">
        <v>199</v>
      </c>
      <c r="AB7" s="75" t="s">
        <v>472</v>
      </c>
      <c r="AC7" s="76">
        <v>120</v>
      </c>
      <c r="AD7" s="76">
        <v>4</v>
      </c>
      <c r="AE7" s="75" t="s">
        <v>384</v>
      </c>
      <c r="AF7" s="76">
        <v>1</v>
      </c>
      <c r="AG7" s="75" t="s">
        <v>418</v>
      </c>
      <c r="AH7" s="76">
        <v>70</v>
      </c>
      <c r="AJ7" s="77" t="s">
        <v>514</v>
      </c>
      <c r="AK7" s="87"/>
      <c r="AL7" s="70" t="s">
        <v>366</v>
      </c>
      <c r="AM7" s="70">
        <v>1</v>
      </c>
      <c r="AN7" s="78"/>
      <c r="AO7" s="78"/>
      <c r="AP7" s="79"/>
      <c r="AQ7" s="71" t="str">
        <f>_xlfn.CONCAT(C7,"/",D7)</f>
        <v>768/0</v>
      </c>
      <c r="AR7" s="71" t="str">
        <f>IF(D7=0,"DA CONTRATTO","SPOT")</f>
        <v>DA CONTRATTO</v>
      </c>
      <c r="AS7" s="72" t="str">
        <f>IF(AD7=5,"P","C")</f>
        <v>C</v>
      </c>
      <c r="AT7" s="71" t="e">
        <f>VLOOKUP(S7,'FILE PALLETTIZZAZIONI DB SRL'!B:H,5,FALSE)</f>
        <v>#N/A</v>
      </c>
      <c r="AU7" s="71" t="str">
        <f>TEXT(N7,"gggg")</f>
        <v>sabato</v>
      </c>
      <c r="AV7" s="71">
        <f>WEEKNUM(N7)</f>
        <v>0</v>
      </c>
      <c r="AW7" s="71" t="str">
        <f>IF(AND(ISBLANK(N7),AS7="P"), "ATTENZIONE: Data produzione non pianificata", IF(AND(ISBLANK(N7),AS7="C"), "ATTENZIONE: Data arrivo merce acquisti non presente", IF(O7-N7&gt;=AP7, "Data sped. utile INSERITA", "ATTENZIONE: GG. resa non adeguati")))</f>
        <v>ATTENZIONE: Data arrivo merce acquisti non presente</v>
      </c>
      <c r="AX7" s="71" t="str">
        <f ca="1">IF(ISBLANK(O7), "ATTENZIONE: Data non inserita", IF(O7&lt;=param!B2, "ATTENZIONE: Ritardo, Avvertire il cliente", "Data cons. rich. INSERITA"))</f>
        <v>Data cons. rich. INSERITA</v>
      </c>
      <c r="AY7" s="71" t="str">
        <f>IF(OR(ISBLANK(AP7),ISBLANK(AH7)), "ATTENZIONE: Vettore non associato", IF(V7="VETTORE", "Tipo spedizione: VETTORE", IF(V7="DESTINATARIO", "Tipo spedizione: DESTINATARIO", IF(ISBLANK(V7), "ATTENZIONE: Vettore vuoto", "?"))))</f>
        <v>ATTENZIONE: Vettore non associato</v>
      </c>
      <c r="AZ7" s="71" t="str">
        <f>IF(AM7=1, "Città OK", "ATTENZIONE: CAP non presente")</f>
        <v>Città OK</v>
      </c>
      <c r="BA7" s="73" t="s">
        <v>387</v>
      </c>
      <c r="BB7" s="73" t="str">
        <f ca="1">_xlfn.CONCAT(AW7," - ",AX7," - ",AY7," - ",AZ7," - ","Data: ",BA7)</f>
        <v>ATTENZIONE: Data arrivo merce acquisti non presente - Data cons. rich. INSERITA - ATTENZIONE: Vettore non associato - Città OK - Data: ATTENZIONE: Giorno congruo presa vettore</v>
      </c>
    </row>
    <row r="8" spans="1:54" x14ac:dyDescent="0.25">
      <c r="A8" s="75" t="s">
        <v>380</v>
      </c>
      <c r="B8" s="76">
        <v>7</v>
      </c>
      <c r="C8" s="76">
        <v>770</v>
      </c>
      <c r="D8" s="76">
        <v>0</v>
      </c>
      <c r="E8" s="85">
        <v>45958</v>
      </c>
      <c r="F8" s="76">
        <v>284</v>
      </c>
      <c r="G8" s="75" t="s">
        <v>448</v>
      </c>
      <c r="H8" s="75" t="s">
        <v>469</v>
      </c>
      <c r="I8" s="75" t="s">
        <v>470</v>
      </c>
      <c r="J8" s="75" t="s">
        <v>471</v>
      </c>
      <c r="K8" s="68">
        <v>640</v>
      </c>
      <c r="L8" s="86">
        <v>340</v>
      </c>
      <c r="M8" s="68">
        <v>300</v>
      </c>
      <c r="N8" s="85"/>
      <c r="O8" s="85">
        <v>45986</v>
      </c>
      <c r="P8" s="75" t="s">
        <v>31</v>
      </c>
      <c r="Q8" s="76">
        <v>8</v>
      </c>
      <c r="R8" s="76">
        <v>10</v>
      </c>
      <c r="S8" s="75" t="s">
        <v>37</v>
      </c>
      <c r="T8" s="75" t="s">
        <v>783</v>
      </c>
      <c r="U8" s="75" t="s">
        <v>415</v>
      </c>
      <c r="V8" s="75" t="s">
        <v>416</v>
      </c>
      <c r="W8" s="75" t="s">
        <v>449</v>
      </c>
      <c r="X8" s="75" t="s">
        <v>450</v>
      </c>
      <c r="Y8" s="76">
        <v>4</v>
      </c>
      <c r="Z8" s="75" t="s">
        <v>425</v>
      </c>
      <c r="AA8" s="76">
        <v>199</v>
      </c>
      <c r="AB8" s="75" t="s">
        <v>472</v>
      </c>
      <c r="AC8" s="76">
        <v>120</v>
      </c>
      <c r="AD8" s="76">
        <v>4</v>
      </c>
      <c r="AE8" s="75" t="s">
        <v>384</v>
      </c>
      <c r="AF8" s="76">
        <v>1</v>
      </c>
      <c r="AG8" s="75" t="s">
        <v>418</v>
      </c>
      <c r="AH8" s="76">
        <v>2</v>
      </c>
      <c r="AJ8" s="77" t="s">
        <v>518</v>
      </c>
      <c r="AK8" s="87"/>
      <c r="AL8" s="70" t="s">
        <v>366</v>
      </c>
      <c r="AM8" s="70">
        <v>1</v>
      </c>
      <c r="AN8" s="78"/>
      <c r="AO8" s="78"/>
      <c r="AP8" s="79"/>
      <c r="AQ8" s="71" t="str">
        <f>_xlfn.CONCAT(C8,"/",D8)</f>
        <v>770/0</v>
      </c>
      <c r="AR8" s="71" t="str">
        <f>IF(D8=0,"DA CONTRATTO","SPOT")</f>
        <v>DA CONTRATTO</v>
      </c>
      <c r="AS8" s="72" t="str">
        <f>IF(AD8=5,"P","C")</f>
        <v>C</v>
      </c>
      <c r="AT8" s="71">
        <f>VLOOKUP(S8,'FILE PALLETTIZZAZIONI DB SRL'!B:H,5,FALSE)</f>
        <v>2</v>
      </c>
      <c r="AU8" s="71" t="str">
        <f>TEXT(N8,"gggg")</f>
        <v>sabato</v>
      </c>
      <c r="AV8" s="71">
        <f>WEEKNUM(N8)</f>
        <v>0</v>
      </c>
      <c r="AW8" s="71" t="str">
        <f>IF(AND(ISBLANK(N8),AS8="P"), "ATTENZIONE: Data produzione non pianificata", IF(AND(ISBLANK(N8),AS8="C"), "ATTENZIONE: Data arrivo merce acquisti non presente", IF(O8-N8&gt;=AP8, "Data sped. utile INSERITA", "ATTENZIONE: GG. resa non adeguati")))</f>
        <v>ATTENZIONE: Data arrivo merce acquisti non presente</v>
      </c>
      <c r="AX8" s="71" t="str">
        <f ca="1">IF(ISBLANK(O8), "ATTENZIONE: Data non inserita", IF(O8&lt;=param!B2, "ATTENZIONE: Ritardo, Avvertire il cliente", "Data cons. rich. INSERITA"))</f>
        <v>Data cons. rich. INSERITA</v>
      </c>
      <c r="AY8" s="71" t="str">
        <f>IF(OR(ISBLANK(AP8),ISBLANK(AH8)), "ATTENZIONE: Vettore non associato", IF(V8="VETTORE", "Tipo spedizione: VETTORE", IF(V8="DESTINATARIO", "Tipo spedizione: DESTINATARIO", IF(ISBLANK(V8), "ATTENZIONE: Vettore vuoto", "?"))))</f>
        <v>ATTENZIONE: Vettore non associato</v>
      </c>
      <c r="AZ8" s="71" t="str">
        <f>IF(AM8=1, "Città OK", "ATTENZIONE: CAP non presente")</f>
        <v>Città OK</v>
      </c>
      <c r="BA8" s="73" t="s">
        <v>387</v>
      </c>
      <c r="BB8" s="73" t="str">
        <f ca="1">_xlfn.CONCAT(AW8," - ",AX8," - ",AY8," - ",AZ8," - ","Data: ",BA8)</f>
        <v>ATTENZIONE: Data arrivo merce acquisti non presente - Data cons. rich. INSERITA - ATTENZIONE: Vettore non associato - Città OK - Data: ATTENZIONE: Giorno congruo presa vettore</v>
      </c>
    </row>
    <row r="9" spans="1:54" x14ac:dyDescent="0.25">
      <c r="A9" s="75" t="s">
        <v>380</v>
      </c>
      <c r="B9" s="76">
        <v>8</v>
      </c>
      <c r="C9" s="76">
        <v>770</v>
      </c>
      <c r="D9" s="76">
        <v>0</v>
      </c>
      <c r="E9" s="85">
        <v>45958</v>
      </c>
      <c r="F9" s="76">
        <v>284</v>
      </c>
      <c r="G9" s="75" t="s">
        <v>448</v>
      </c>
      <c r="H9" s="75" t="s">
        <v>510</v>
      </c>
      <c r="I9" s="75" t="s">
        <v>508</v>
      </c>
      <c r="J9" s="75" t="s">
        <v>471</v>
      </c>
      <c r="K9" s="68">
        <v>0.5</v>
      </c>
      <c r="L9" s="86"/>
      <c r="M9" s="68">
        <v>0.5</v>
      </c>
      <c r="N9" s="85"/>
      <c r="O9" s="85">
        <v>45986</v>
      </c>
      <c r="P9" s="75" t="s">
        <v>31</v>
      </c>
      <c r="Q9" s="76">
        <v>8</v>
      </c>
      <c r="R9" s="76">
        <v>10</v>
      </c>
      <c r="S9" s="75" t="s">
        <v>509</v>
      </c>
      <c r="T9" s="75" t="s">
        <v>783</v>
      </c>
      <c r="U9" s="75" t="s">
        <v>415</v>
      </c>
      <c r="V9" s="75" t="s">
        <v>416</v>
      </c>
      <c r="W9" s="75" t="s">
        <v>449</v>
      </c>
      <c r="X9" s="75" t="s">
        <v>450</v>
      </c>
      <c r="Y9" s="76">
        <v>4</v>
      </c>
      <c r="Z9" s="75" t="s">
        <v>425</v>
      </c>
      <c r="AA9" s="76">
        <v>199</v>
      </c>
      <c r="AB9" s="75" t="s">
        <v>472</v>
      </c>
      <c r="AC9" s="76">
        <v>120</v>
      </c>
      <c r="AD9" s="76">
        <v>4</v>
      </c>
      <c r="AE9" s="75" t="s">
        <v>384</v>
      </c>
      <c r="AF9" s="76">
        <v>1</v>
      </c>
      <c r="AG9" s="75" t="s">
        <v>418</v>
      </c>
      <c r="AH9" s="76">
        <v>2</v>
      </c>
      <c r="AJ9" s="77" t="s">
        <v>518</v>
      </c>
      <c r="AK9" s="87"/>
      <c r="AL9" s="70" t="s">
        <v>366</v>
      </c>
      <c r="AM9" s="70">
        <v>1</v>
      </c>
      <c r="AN9" s="78"/>
      <c r="AO9" s="78"/>
      <c r="AP9" s="79"/>
      <c r="AQ9" s="71" t="str">
        <f>_xlfn.CONCAT(C9,"/",D9)</f>
        <v>770/0</v>
      </c>
      <c r="AR9" s="71" t="str">
        <f>IF(D9=0,"DA CONTRATTO","SPOT")</f>
        <v>DA CONTRATTO</v>
      </c>
      <c r="AS9" s="72" t="str">
        <f>IF(AD9=5,"P","C")</f>
        <v>C</v>
      </c>
      <c r="AT9" s="71" t="e">
        <f>VLOOKUP(S9,'FILE PALLETTIZZAZIONI DB SRL'!B:H,5,FALSE)</f>
        <v>#N/A</v>
      </c>
      <c r="AU9" s="71" t="str">
        <f>TEXT(N9,"gggg")</f>
        <v>sabato</v>
      </c>
      <c r="AV9" s="71">
        <f>WEEKNUM(N9)</f>
        <v>0</v>
      </c>
      <c r="AW9" s="71" t="str">
        <f>IF(AND(ISBLANK(N9),AS9="P"), "ATTENZIONE: Data produzione non pianificata", IF(AND(ISBLANK(N9),AS9="C"), "ATTENZIONE: Data arrivo merce acquisti non presente", IF(O9-N9&gt;=AP9, "Data sped. utile INSERITA", "ATTENZIONE: GG. resa non adeguati")))</f>
        <v>ATTENZIONE: Data arrivo merce acquisti non presente</v>
      </c>
      <c r="AX9" s="71" t="str">
        <f ca="1">IF(ISBLANK(O9), "ATTENZIONE: Data non inserita", IF(O9&lt;=param!B2, "ATTENZIONE: Ritardo, Avvertire il cliente", "Data cons. rich. INSERITA"))</f>
        <v>Data cons. rich. INSERITA</v>
      </c>
      <c r="AY9" s="71" t="str">
        <f>IF(OR(ISBLANK(AP9),ISBLANK(AH9)), "ATTENZIONE: Vettore non associato", IF(V9="VETTORE", "Tipo spedizione: VETTORE", IF(V9="DESTINATARIO", "Tipo spedizione: DESTINATARIO", IF(ISBLANK(V9), "ATTENZIONE: Vettore vuoto", "?"))))</f>
        <v>ATTENZIONE: Vettore non associato</v>
      </c>
      <c r="AZ9" s="71" t="str">
        <f>IF(AM9=1, "Città OK", "ATTENZIONE: CAP non presente")</f>
        <v>Città OK</v>
      </c>
      <c r="BA9" s="73" t="s">
        <v>387</v>
      </c>
      <c r="BB9" s="73" t="str">
        <f ca="1">_xlfn.CONCAT(AW9," - ",AX9," - ",AY9," - ",AZ9," - ","Data: ",BA9)</f>
        <v>ATTENZIONE: Data arrivo merce acquisti non presente - Data cons. rich. INSERITA - ATTENZIONE: Vettore non associato - Città OK - Data: ATTENZIONE: Giorno congruo presa vettore</v>
      </c>
    </row>
    <row r="10" spans="1:54" x14ac:dyDescent="0.25">
      <c r="A10" s="75" t="s">
        <v>380</v>
      </c>
      <c r="B10" s="76">
        <v>9</v>
      </c>
      <c r="C10" s="76">
        <v>796</v>
      </c>
      <c r="D10" s="76">
        <v>0</v>
      </c>
      <c r="E10" s="85">
        <v>45972</v>
      </c>
      <c r="F10" s="76">
        <v>284</v>
      </c>
      <c r="G10" s="75" t="s">
        <v>448</v>
      </c>
      <c r="H10" s="75" t="s">
        <v>666</v>
      </c>
      <c r="I10" s="75" t="s">
        <v>667</v>
      </c>
      <c r="J10" s="75" t="s">
        <v>668</v>
      </c>
      <c r="K10" s="68">
        <v>1296</v>
      </c>
      <c r="L10" s="86"/>
      <c r="M10" s="68">
        <v>1296</v>
      </c>
      <c r="N10" s="85">
        <v>45996</v>
      </c>
      <c r="O10" s="85">
        <v>46003</v>
      </c>
      <c r="P10" s="75" t="s">
        <v>30</v>
      </c>
      <c r="Q10" s="76">
        <v>8</v>
      </c>
      <c r="R10" s="76">
        <v>10</v>
      </c>
      <c r="S10" s="75" t="s">
        <v>29</v>
      </c>
      <c r="T10" s="75" t="s">
        <v>381</v>
      </c>
      <c r="U10" s="75" t="s">
        <v>415</v>
      </c>
      <c r="V10" s="75" t="s">
        <v>416</v>
      </c>
      <c r="W10" s="75" t="s">
        <v>449</v>
      </c>
      <c r="X10" s="75" t="s">
        <v>450</v>
      </c>
      <c r="Y10" s="76">
        <v>5</v>
      </c>
      <c r="Z10" s="75" t="s">
        <v>669</v>
      </c>
      <c r="AA10" s="76">
        <v>213</v>
      </c>
      <c r="AB10" s="75" t="s">
        <v>33</v>
      </c>
      <c r="AC10" s="76">
        <v>125</v>
      </c>
      <c r="AD10" s="76">
        <v>5</v>
      </c>
      <c r="AE10" s="75" t="s">
        <v>383</v>
      </c>
      <c r="AF10" s="76">
        <v>1</v>
      </c>
      <c r="AG10" s="75" t="s">
        <v>418</v>
      </c>
      <c r="AH10" s="76">
        <v>1</v>
      </c>
      <c r="AJ10" s="77" t="s">
        <v>670</v>
      </c>
      <c r="AK10" s="87"/>
      <c r="AL10" s="70" t="s">
        <v>366</v>
      </c>
      <c r="AM10" s="70">
        <v>1</v>
      </c>
      <c r="AN10" s="78" t="s">
        <v>347</v>
      </c>
      <c r="AO10" s="78" t="s">
        <v>334</v>
      </c>
      <c r="AP10" s="79">
        <v>5</v>
      </c>
      <c r="AQ10" s="71" t="str">
        <f>_xlfn.CONCAT(C10,"/",D10)</f>
        <v>796/0</v>
      </c>
      <c r="AR10" s="71" t="str">
        <f>IF(D10=0,"DA CONTRATTO","SPOT")</f>
        <v>DA CONTRATTO</v>
      </c>
      <c r="AS10" s="72" t="str">
        <f>IF(AD10=5,"P","C")</f>
        <v>P</v>
      </c>
      <c r="AT10" s="71">
        <f>VLOOKUP(S10,'FILE PALLETTIZZAZIONI DB SRL'!B:H,5,FALSE)</f>
        <v>2</v>
      </c>
      <c r="AU10" s="71" t="str">
        <f>TEXT(N10,"gggg")</f>
        <v>venerdì</v>
      </c>
      <c r="AV10" s="71">
        <f>WEEKNUM(N10)</f>
        <v>49</v>
      </c>
      <c r="AW10" s="71" t="str">
        <f>IF(AND(ISBLANK(N10),AS10="P"), "ATTENZIONE: Data produzione non pianificata", IF(AND(ISBLANK(N10),AS10="C"), "ATTENZIONE: Data arrivo merce acquisti non presente", IF(O10-N10&gt;=AP10, "Data sped. utile INSERITA", "ATTENZIONE: GG. resa non adeguati")))</f>
        <v>Data sped. utile INSERITA</v>
      </c>
      <c r="AX10" s="71" t="str">
        <f ca="1">IF(ISBLANK(O10), "ATTENZIONE: Data non inserita", IF(O10&lt;=param!B2, "ATTENZIONE: Ritardo, Avvertire il cliente", "Data cons. rich. INSERITA"))</f>
        <v>Data cons. rich. INSERITA</v>
      </c>
      <c r="AY10" s="71" t="str">
        <f>IF(OR(ISBLANK(AP10),ISBLANK(AH10)), "ATTENZIONE: Vettore non associato", IF(V10="VETTORE", "Tipo spedizione: VETTORE", IF(V10="DESTINATARIO", "Tipo spedizione: DESTINATARIO", IF(ISBLANK(V10), "ATTENZIONE: Vettore vuoto", "?"))))</f>
        <v>Tipo spedizione: VETTORE</v>
      </c>
      <c r="AZ10" s="71" t="str">
        <f>IF(AM10=1, "Città OK", "ATTENZIONE: CAP non presente")</f>
        <v>Città OK</v>
      </c>
      <c r="BA10" s="73" t="s">
        <v>388</v>
      </c>
      <c r="BB10" s="73" t="str">
        <f ca="1">_xlfn.CONCAT(AW10," - ",AX10," - ",AY10," - ",AZ10," - ","Data: ",BA10)</f>
        <v>Data sped. utile INSERITA - Data cons. rich. INSERITA - Tipo spedizione: VETTORE - Città OK - Data: OK</v>
      </c>
    </row>
    <row r="11" spans="1:54" x14ac:dyDescent="0.25">
      <c r="A11" s="75" t="s">
        <v>380</v>
      </c>
      <c r="B11" s="76">
        <v>10</v>
      </c>
      <c r="C11" s="76">
        <v>796</v>
      </c>
      <c r="D11" s="76">
        <v>0</v>
      </c>
      <c r="E11" s="85">
        <v>45972</v>
      </c>
      <c r="F11" s="76">
        <v>284</v>
      </c>
      <c r="G11" s="75" t="s">
        <v>448</v>
      </c>
      <c r="H11" s="75" t="s">
        <v>671</v>
      </c>
      <c r="I11" s="75" t="s">
        <v>672</v>
      </c>
      <c r="J11" s="75" t="s">
        <v>668</v>
      </c>
      <c r="K11" s="68">
        <v>0.5</v>
      </c>
      <c r="L11" s="86"/>
      <c r="M11" s="68">
        <v>0.5</v>
      </c>
      <c r="N11" s="85">
        <v>45996</v>
      </c>
      <c r="O11" s="85">
        <v>46003</v>
      </c>
      <c r="P11" s="75" t="s">
        <v>30</v>
      </c>
      <c r="Q11" s="76">
        <v>8</v>
      </c>
      <c r="R11" s="76">
        <v>10</v>
      </c>
      <c r="S11" s="75" t="s">
        <v>509</v>
      </c>
      <c r="T11" s="75" t="s">
        <v>381</v>
      </c>
      <c r="U11" s="75" t="s">
        <v>415</v>
      </c>
      <c r="V11" s="75" t="s">
        <v>416</v>
      </c>
      <c r="W11" s="75" t="s">
        <v>449</v>
      </c>
      <c r="X11" s="75" t="s">
        <v>450</v>
      </c>
      <c r="Y11" s="76">
        <v>5</v>
      </c>
      <c r="Z11" s="75" t="s">
        <v>669</v>
      </c>
      <c r="AA11" s="76">
        <v>213</v>
      </c>
      <c r="AB11" s="75" t="s">
        <v>33</v>
      </c>
      <c r="AC11" s="76">
        <v>125</v>
      </c>
      <c r="AD11" s="76">
        <v>5</v>
      </c>
      <c r="AE11" s="75" t="s">
        <v>383</v>
      </c>
      <c r="AF11" s="76">
        <v>1</v>
      </c>
      <c r="AG11" s="75" t="s">
        <v>418</v>
      </c>
      <c r="AH11" s="76">
        <v>1</v>
      </c>
      <c r="AJ11" s="77" t="s">
        <v>670</v>
      </c>
      <c r="AK11" s="87"/>
      <c r="AL11" s="70" t="s">
        <v>366</v>
      </c>
      <c r="AM11" s="70">
        <v>1</v>
      </c>
      <c r="AN11" s="78" t="s">
        <v>347</v>
      </c>
      <c r="AO11" s="78" t="s">
        <v>334</v>
      </c>
      <c r="AP11" s="79">
        <v>5</v>
      </c>
      <c r="AQ11" s="71" t="str">
        <f>_xlfn.CONCAT(C11,"/",D11)</f>
        <v>796/0</v>
      </c>
      <c r="AR11" s="71" t="str">
        <f>IF(D11=0,"DA CONTRATTO","SPOT")</f>
        <v>DA CONTRATTO</v>
      </c>
      <c r="AS11" s="72" t="str">
        <f>IF(AD11=5,"P","C")</f>
        <v>P</v>
      </c>
      <c r="AT11" s="71" t="e">
        <f>VLOOKUP(S11,'FILE PALLETTIZZAZIONI DB SRL'!B:H,5,FALSE)</f>
        <v>#N/A</v>
      </c>
      <c r="AU11" s="71" t="str">
        <f>TEXT(N11,"gggg")</f>
        <v>venerdì</v>
      </c>
      <c r="AV11" s="71">
        <f>WEEKNUM(N11)</f>
        <v>49</v>
      </c>
      <c r="AW11" s="71" t="str">
        <f>IF(AND(ISBLANK(N11),AS11="P"), "ATTENZIONE: Data produzione non pianificata", IF(AND(ISBLANK(N11),AS11="C"), "ATTENZIONE: Data arrivo merce acquisti non presente", IF(O11-N11&gt;=AP11, "Data sped. utile INSERITA", "ATTENZIONE: GG. resa non adeguati")))</f>
        <v>Data sped. utile INSERITA</v>
      </c>
      <c r="AX11" s="71" t="str">
        <f ca="1">IF(ISBLANK(O11), "ATTENZIONE: Data non inserita", IF(O11&lt;=param!B2, "ATTENZIONE: Ritardo, Avvertire il cliente", "Data cons. rich. INSERITA"))</f>
        <v>Data cons. rich. INSERITA</v>
      </c>
      <c r="AY11" s="71" t="str">
        <f>IF(OR(ISBLANK(AP11),ISBLANK(AH11)), "ATTENZIONE: Vettore non associato", IF(V11="VETTORE", "Tipo spedizione: VETTORE", IF(V11="DESTINATARIO", "Tipo spedizione: DESTINATARIO", IF(ISBLANK(V11), "ATTENZIONE: Vettore vuoto", "?"))))</f>
        <v>Tipo spedizione: VETTORE</v>
      </c>
      <c r="AZ11" s="71" t="str">
        <f>IF(AM11=1, "Città OK", "ATTENZIONE: CAP non presente")</f>
        <v>Città OK</v>
      </c>
      <c r="BA11" s="73" t="s">
        <v>388</v>
      </c>
      <c r="BB11" s="73" t="str">
        <f ca="1">_xlfn.CONCAT(AW11," - ",AX11," - ",AY11," - ",AZ11," - ","Data: ",BA11)</f>
        <v>Data sped. utile INSERITA - Data cons. rich. INSERITA - Tipo spedizione: VETTORE - Città OK - Data: OK</v>
      </c>
    </row>
    <row r="12" spans="1:54" x14ac:dyDescent="0.25">
      <c r="A12" s="75" t="s">
        <v>380</v>
      </c>
      <c r="B12" s="76">
        <v>11</v>
      </c>
      <c r="C12" s="76">
        <v>797</v>
      </c>
      <c r="D12" s="76">
        <v>0</v>
      </c>
      <c r="E12" s="85">
        <v>45972</v>
      </c>
      <c r="F12" s="76">
        <v>284</v>
      </c>
      <c r="G12" s="75" t="s">
        <v>448</v>
      </c>
      <c r="H12" s="75" t="s">
        <v>469</v>
      </c>
      <c r="I12" s="75" t="s">
        <v>470</v>
      </c>
      <c r="J12" s="75" t="s">
        <v>471</v>
      </c>
      <c r="K12" s="68">
        <v>640</v>
      </c>
      <c r="L12" s="86"/>
      <c r="M12" s="68">
        <v>640</v>
      </c>
      <c r="N12" s="85"/>
      <c r="O12" s="85">
        <v>46001</v>
      </c>
      <c r="P12" s="75" t="s">
        <v>31</v>
      </c>
      <c r="Q12" s="76">
        <v>8</v>
      </c>
      <c r="R12" s="76">
        <v>10</v>
      </c>
      <c r="S12" s="75" t="s">
        <v>37</v>
      </c>
      <c r="T12" s="75" t="s">
        <v>381</v>
      </c>
      <c r="U12" s="75" t="s">
        <v>415</v>
      </c>
      <c r="V12" s="75" t="s">
        <v>416</v>
      </c>
      <c r="W12" s="75" t="s">
        <v>449</v>
      </c>
      <c r="X12" s="75" t="s">
        <v>450</v>
      </c>
      <c r="Y12" s="76">
        <v>4</v>
      </c>
      <c r="Z12" s="75" t="s">
        <v>425</v>
      </c>
      <c r="AA12" s="76">
        <v>199</v>
      </c>
      <c r="AB12" s="75" t="s">
        <v>472</v>
      </c>
      <c r="AC12" s="76">
        <v>120</v>
      </c>
      <c r="AD12" s="76">
        <v>4</v>
      </c>
      <c r="AE12" s="75" t="s">
        <v>384</v>
      </c>
      <c r="AF12" s="76">
        <v>1</v>
      </c>
      <c r="AG12" s="75" t="s">
        <v>418</v>
      </c>
      <c r="AH12" s="76">
        <v>2</v>
      </c>
      <c r="AJ12" s="77" t="s">
        <v>673</v>
      </c>
      <c r="AK12" s="87"/>
      <c r="AL12" s="70" t="s">
        <v>366</v>
      </c>
      <c r="AM12" s="70">
        <v>1</v>
      </c>
      <c r="AN12" s="78"/>
      <c r="AO12" s="78"/>
      <c r="AP12" s="79"/>
      <c r="AQ12" s="71" t="str">
        <f>_xlfn.CONCAT(C12,"/",D12)</f>
        <v>797/0</v>
      </c>
      <c r="AR12" s="71" t="str">
        <f>IF(D12=0,"DA CONTRATTO","SPOT")</f>
        <v>DA CONTRATTO</v>
      </c>
      <c r="AS12" s="72" t="str">
        <f>IF(AD12=5,"P","C")</f>
        <v>C</v>
      </c>
      <c r="AT12" s="71">
        <f>VLOOKUP(S12,'FILE PALLETTIZZAZIONI DB SRL'!B:H,5,FALSE)</f>
        <v>2</v>
      </c>
      <c r="AU12" s="71" t="str">
        <f>TEXT(N12,"gggg")</f>
        <v>sabato</v>
      </c>
      <c r="AV12" s="71">
        <f>WEEKNUM(N12)</f>
        <v>0</v>
      </c>
      <c r="AW12" s="71" t="str">
        <f>IF(AND(ISBLANK(N12),AS12="P"), "ATTENZIONE: Data produzione non pianificata", IF(AND(ISBLANK(N12),AS12="C"), "ATTENZIONE: Data arrivo merce acquisti non presente", IF(O12-N12&gt;=AP12, "Data sped. utile INSERITA", "ATTENZIONE: GG. resa non adeguati")))</f>
        <v>ATTENZIONE: Data arrivo merce acquisti non presente</v>
      </c>
      <c r="AX12" s="71" t="str">
        <f ca="1">IF(ISBLANK(O12), "ATTENZIONE: Data non inserita", IF(O12&lt;=param!B2, "ATTENZIONE: Ritardo, Avvertire il cliente", "Data cons. rich. INSERITA"))</f>
        <v>Data cons. rich. INSERITA</v>
      </c>
      <c r="AY12" s="71" t="str">
        <f>IF(OR(ISBLANK(AP12),ISBLANK(AH12)), "ATTENZIONE: Vettore non associato", IF(V12="VETTORE", "Tipo spedizione: VETTORE", IF(V12="DESTINATARIO", "Tipo spedizione: DESTINATARIO", IF(ISBLANK(V12), "ATTENZIONE: Vettore vuoto", "?"))))</f>
        <v>ATTENZIONE: Vettore non associato</v>
      </c>
      <c r="AZ12" s="71" t="str">
        <f>IF(AM12=1, "Città OK", "ATTENZIONE: CAP non presente")</f>
        <v>Città OK</v>
      </c>
      <c r="BA12" s="73" t="s">
        <v>387</v>
      </c>
      <c r="BB12" s="73" t="str">
        <f ca="1">_xlfn.CONCAT(AW12," - ",AX12," - ",AY12," - ",AZ12," - ","Data: ",BA12)</f>
        <v>ATTENZIONE: Data arrivo merce acquisti non presente - Data cons. rich. INSERITA - ATTENZIONE: Vettore non associato - Città OK - Data: ATTENZIONE: Giorno congruo presa vettore</v>
      </c>
    </row>
    <row r="13" spans="1:54" x14ac:dyDescent="0.25">
      <c r="A13" s="75" t="s">
        <v>380</v>
      </c>
      <c r="B13" s="76">
        <v>12</v>
      </c>
      <c r="C13" s="76">
        <v>797</v>
      </c>
      <c r="D13" s="76">
        <v>0</v>
      </c>
      <c r="E13" s="85">
        <v>45972</v>
      </c>
      <c r="F13" s="76">
        <v>284</v>
      </c>
      <c r="G13" s="75" t="s">
        <v>448</v>
      </c>
      <c r="H13" s="75" t="s">
        <v>510</v>
      </c>
      <c r="I13" s="75" t="s">
        <v>508</v>
      </c>
      <c r="J13" s="75" t="s">
        <v>471</v>
      </c>
      <c r="K13" s="68">
        <v>0.5</v>
      </c>
      <c r="L13" s="86"/>
      <c r="M13" s="68">
        <v>0.5</v>
      </c>
      <c r="N13" s="85"/>
      <c r="O13" s="85">
        <v>46001</v>
      </c>
      <c r="P13" s="75" t="s">
        <v>31</v>
      </c>
      <c r="Q13" s="76">
        <v>8</v>
      </c>
      <c r="R13" s="76">
        <v>10</v>
      </c>
      <c r="S13" s="75" t="s">
        <v>509</v>
      </c>
      <c r="T13" s="75" t="s">
        <v>381</v>
      </c>
      <c r="U13" s="75" t="s">
        <v>415</v>
      </c>
      <c r="V13" s="75" t="s">
        <v>416</v>
      </c>
      <c r="W13" s="75" t="s">
        <v>449</v>
      </c>
      <c r="X13" s="75" t="s">
        <v>450</v>
      </c>
      <c r="Y13" s="76">
        <v>4</v>
      </c>
      <c r="Z13" s="75" t="s">
        <v>425</v>
      </c>
      <c r="AA13" s="76">
        <v>199</v>
      </c>
      <c r="AB13" s="75" t="s">
        <v>472</v>
      </c>
      <c r="AC13" s="76">
        <v>120</v>
      </c>
      <c r="AD13" s="76">
        <v>4</v>
      </c>
      <c r="AE13" s="75" t="s">
        <v>384</v>
      </c>
      <c r="AF13" s="76">
        <v>1</v>
      </c>
      <c r="AG13" s="75" t="s">
        <v>418</v>
      </c>
      <c r="AH13" s="76">
        <v>2</v>
      </c>
      <c r="AJ13" s="77" t="s">
        <v>673</v>
      </c>
      <c r="AK13" s="87"/>
      <c r="AL13" s="70" t="s">
        <v>366</v>
      </c>
      <c r="AM13" s="70">
        <v>1</v>
      </c>
      <c r="AN13" s="78"/>
      <c r="AO13" s="78"/>
      <c r="AP13" s="79"/>
      <c r="AQ13" s="71" t="str">
        <f>_xlfn.CONCAT(C13,"/",D13)</f>
        <v>797/0</v>
      </c>
      <c r="AR13" s="71" t="str">
        <f>IF(D13=0,"DA CONTRATTO","SPOT")</f>
        <v>DA CONTRATTO</v>
      </c>
      <c r="AS13" s="72" t="str">
        <f>IF(AD13=5,"P","C")</f>
        <v>C</v>
      </c>
      <c r="AT13" s="71" t="e">
        <f>VLOOKUP(S13,'FILE PALLETTIZZAZIONI DB SRL'!B:H,5,FALSE)</f>
        <v>#N/A</v>
      </c>
      <c r="AU13" s="71" t="str">
        <f>TEXT(N13,"gggg")</f>
        <v>sabato</v>
      </c>
      <c r="AV13" s="71">
        <f>WEEKNUM(N13)</f>
        <v>0</v>
      </c>
      <c r="AW13" s="71" t="str">
        <f>IF(AND(ISBLANK(N13),AS13="P"), "ATTENZIONE: Data produzione non pianificata", IF(AND(ISBLANK(N13),AS13="C"), "ATTENZIONE: Data arrivo merce acquisti non presente", IF(O13-N13&gt;=AP13, "Data sped. utile INSERITA", "ATTENZIONE: GG. resa non adeguati")))</f>
        <v>ATTENZIONE: Data arrivo merce acquisti non presente</v>
      </c>
      <c r="AX13" s="71" t="str">
        <f ca="1">IF(ISBLANK(O13), "ATTENZIONE: Data non inserita", IF(O13&lt;=param!B2, "ATTENZIONE: Ritardo, Avvertire il cliente", "Data cons. rich. INSERITA"))</f>
        <v>Data cons. rich. INSERITA</v>
      </c>
      <c r="AY13" s="71" t="str">
        <f>IF(OR(ISBLANK(AP13),ISBLANK(AH13)), "ATTENZIONE: Vettore non associato", IF(V13="VETTORE", "Tipo spedizione: VETTORE", IF(V13="DESTINATARIO", "Tipo spedizione: DESTINATARIO", IF(ISBLANK(V13), "ATTENZIONE: Vettore vuoto", "?"))))</f>
        <v>ATTENZIONE: Vettore non associato</v>
      </c>
      <c r="AZ13" s="71" t="str">
        <f>IF(AM13=1, "Città OK", "ATTENZIONE: CAP non presente")</f>
        <v>Città OK</v>
      </c>
      <c r="BA13" s="73" t="s">
        <v>387</v>
      </c>
      <c r="BB13" s="73" t="str">
        <f ca="1">_xlfn.CONCAT(AW13," - ",AX13," - ",AY13," - ",AZ13," - ","Data: ",BA13)</f>
        <v>ATTENZIONE: Data arrivo merce acquisti non presente - Data cons. rich. INSERITA - ATTENZIONE: Vettore non associato - Città OK - Data: ATTENZIONE: Giorno congruo presa vettore</v>
      </c>
    </row>
    <row r="14" spans="1:54" x14ac:dyDescent="0.25">
      <c r="A14" s="75" t="s">
        <v>380</v>
      </c>
      <c r="B14" s="76">
        <v>13</v>
      </c>
      <c r="C14" s="76">
        <v>798</v>
      </c>
      <c r="D14" s="76">
        <v>0</v>
      </c>
      <c r="E14" s="85">
        <v>45972</v>
      </c>
      <c r="F14" s="76">
        <v>284</v>
      </c>
      <c r="G14" s="75" t="s">
        <v>448</v>
      </c>
      <c r="H14" s="75" t="s">
        <v>478</v>
      </c>
      <c r="I14" s="75" t="s">
        <v>479</v>
      </c>
      <c r="J14" s="75" t="s">
        <v>480</v>
      </c>
      <c r="K14" s="68">
        <v>640</v>
      </c>
      <c r="L14" s="86"/>
      <c r="M14" s="68">
        <v>640</v>
      </c>
      <c r="N14" s="85">
        <v>45996</v>
      </c>
      <c r="O14" s="85">
        <v>46001</v>
      </c>
      <c r="P14" s="75" t="s">
        <v>31</v>
      </c>
      <c r="Q14" s="76">
        <v>8</v>
      </c>
      <c r="R14" s="76">
        <v>10</v>
      </c>
      <c r="S14" s="75" t="s">
        <v>37</v>
      </c>
      <c r="T14" s="75" t="s">
        <v>381</v>
      </c>
      <c r="U14" s="75" t="s">
        <v>415</v>
      </c>
      <c r="V14" s="75" t="s">
        <v>416</v>
      </c>
      <c r="W14" s="75" t="s">
        <v>449</v>
      </c>
      <c r="X14" s="75" t="s">
        <v>450</v>
      </c>
      <c r="Y14" s="76">
        <v>5</v>
      </c>
      <c r="Z14" s="75" t="s">
        <v>425</v>
      </c>
      <c r="AA14" s="76">
        <v>208</v>
      </c>
      <c r="AB14" s="75" t="s">
        <v>426</v>
      </c>
      <c r="AC14" s="76">
        <v>120</v>
      </c>
      <c r="AD14" s="76">
        <v>5</v>
      </c>
      <c r="AE14" s="75" t="s">
        <v>383</v>
      </c>
      <c r="AF14" s="76">
        <v>1</v>
      </c>
      <c r="AG14" s="75" t="s">
        <v>418</v>
      </c>
      <c r="AH14" s="76">
        <v>2</v>
      </c>
      <c r="AJ14" s="77" t="s">
        <v>674</v>
      </c>
      <c r="AK14" s="87"/>
      <c r="AL14" s="70" t="s">
        <v>366</v>
      </c>
      <c r="AM14" s="70">
        <v>1</v>
      </c>
      <c r="AN14" s="78"/>
      <c r="AO14" s="78"/>
      <c r="AP14" s="79"/>
      <c r="AQ14" s="71" t="str">
        <f>_xlfn.CONCAT(C14,"/",D14)</f>
        <v>798/0</v>
      </c>
      <c r="AR14" s="71" t="str">
        <f>IF(D14=0,"DA CONTRATTO","SPOT")</f>
        <v>DA CONTRATTO</v>
      </c>
      <c r="AS14" s="72" t="str">
        <f>IF(AD14=5,"P","C")</f>
        <v>P</v>
      </c>
      <c r="AT14" s="71">
        <f>VLOOKUP(S14,'FILE PALLETTIZZAZIONI DB SRL'!B:H,5,FALSE)</f>
        <v>2</v>
      </c>
      <c r="AU14" s="71" t="str">
        <f>TEXT(N14,"gggg")</f>
        <v>venerdì</v>
      </c>
      <c r="AV14" s="71">
        <f>WEEKNUM(N14)</f>
        <v>49</v>
      </c>
      <c r="AW14" s="71" t="str">
        <f>IF(AND(ISBLANK(N14),AS14="P"), "ATTENZIONE: Data produzione non pianificata", IF(AND(ISBLANK(N14),AS14="C"), "ATTENZIONE: Data arrivo merce acquisti non presente", IF(O14-N14&gt;=AP14, "Data sped. utile INSERITA", "ATTENZIONE: GG. resa non adeguati")))</f>
        <v>Data sped. utile INSERITA</v>
      </c>
      <c r="AX14" s="71" t="str">
        <f ca="1">IF(ISBLANK(O14), "ATTENZIONE: Data non inserita", IF(O14&lt;=param!B2, "ATTENZIONE: Ritardo, Avvertire il cliente", "Data cons. rich. INSERITA"))</f>
        <v>Data cons. rich. INSERITA</v>
      </c>
      <c r="AY14" s="71" t="str">
        <f>IF(OR(ISBLANK(AP14),ISBLANK(AH14)), "ATTENZIONE: Vettore non associato", IF(V14="VETTORE", "Tipo spedizione: VETTORE", IF(V14="DESTINATARIO", "Tipo spedizione: DESTINATARIO", IF(ISBLANK(V14), "ATTENZIONE: Vettore vuoto", "?"))))</f>
        <v>ATTENZIONE: Vettore non associato</v>
      </c>
      <c r="AZ14" s="71" t="str">
        <f>IF(AM14=1, "Città OK", "ATTENZIONE: CAP non presente")</f>
        <v>Città OK</v>
      </c>
      <c r="BA14" s="73" t="s">
        <v>387</v>
      </c>
      <c r="BB14" s="73" t="str">
        <f ca="1">_xlfn.CONCAT(AW14," - ",AX14," - ",AY14," - ",AZ14," - ","Data: ",BA14)</f>
        <v>Data sped. utile INSERITA - Data cons. rich. INSERITA - ATTENZIONE: Vettore non associato - Città OK - Data: ATTENZIONE: Giorno congruo presa vettore</v>
      </c>
    </row>
    <row r="15" spans="1:54" x14ac:dyDescent="0.25">
      <c r="A15" s="75" t="s">
        <v>380</v>
      </c>
      <c r="B15" s="76">
        <v>14</v>
      </c>
      <c r="C15" s="76">
        <v>798</v>
      </c>
      <c r="D15" s="76">
        <v>0</v>
      </c>
      <c r="E15" s="85">
        <v>45972</v>
      </c>
      <c r="F15" s="76">
        <v>284</v>
      </c>
      <c r="G15" s="75" t="s">
        <v>448</v>
      </c>
      <c r="H15" s="75" t="s">
        <v>538</v>
      </c>
      <c r="I15" s="75" t="s">
        <v>539</v>
      </c>
      <c r="J15" s="75" t="s">
        <v>480</v>
      </c>
      <c r="K15" s="68">
        <v>0.5</v>
      </c>
      <c r="L15" s="86"/>
      <c r="M15" s="68">
        <v>0.5</v>
      </c>
      <c r="N15" s="85">
        <v>45996</v>
      </c>
      <c r="O15" s="85">
        <v>46001</v>
      </c>
      <c r="P15" s="75" t="s">
        <v>31</v>
      </c>
      <c r="Q15" s="76">
        <v>8</v>
      </c>
      <c r="R15" s="76">
        <v>10</v>
      </c>
      <c r="S15" s="75" t="s">
        <v>509</v>
      </c>
      <c r="T15" s="75" t="s">
        <v>381</v>
      </c>
      <c r="U15" s="75" t="s">
        <v>415</v>
      </c>
      <c r="V15" s="75" t="s">
        <v>416</v>
      </c>
      <c r="W15" s="75" t="s">
        <v>449</v>
      </c>
      <c r="X15" s="75" t="s">
        <v>450</v>
      </c>
      <c r="Y15" s="76">
        <v>5</v>
      </c>
      <c r="Z15" s="75" t="s">
        <v>425</v>
      </c>
      <c r="AA15" s="76">
        <v>208</v>
      </c>
      <c r="AB15" s="75" t="s">
        <v>426</v>
      </c>
      <c r="AC15" s="76">
        <v>120</v>
      </c>
      <c r="AD15" s="76">
        <v>5</v>
      </c>
      <c r="AE15" s="75" t="s">
        <v>383</v>
      </c>
      <c r="AF15" s="76">
        <v>1</v>
      </c>
      <c r="AG15" s="75" t="s">
        <v>418</v>
      </c>
      <c r="AH15" s="76">
        <v>2</v>
      </c>
      <c r="AJ15" s="77" t="s">
        <v>674</v>
      </c>
      <c r="AK15" s="87"/>
      <c r="AL15" s="70" t="s">
        <v>366</v>
      </c>
      <c r="AM15" s="70">
        <v>1</v>
      </c>
      <c r="AN15" s="78"/>
      <c r="AO15" s="78"/>
      <c r="AP15" s="79"/>
      <c r="AQ15" s="71" t="str">
        <f>_xlfn.CONCAT(C15,"/",D15)</f>
        <v>798/0</v>
      </c>
      <c r="AR15" s="71" t="str">
        <f>IF(D15=0,"DA CONTRATTO","SPOT")</f>
        <v>DA CONTRATTO</v>
      </c>
      <c r="AS15" s="72" t="str">
        <f>IF(AD15=5,"P","C")</f>
        <v>P</v>
      </c>
      <c r="AT15" s="71" t="e">
        <f>VLOOKUP(S15,'FILE PALLETTIZZAZIONI DB SRL'!B:H,5,FALSE)</f>
        <v>#N/A</v>
      </c>
      <c r="AU15" s="71" t="str">
        <f>TEXT(N15,"gggg")</f>
        <v>venerdì</v>
      </c>
      <c r="AV15" s="71">
        <f>WEEKNUM(N15)</f>
        <v>49</v>
      </c>
      <c r="AW15" s="71" t="str">
        <f>IF(AND(ISBLANK(N15),AS15="P"), "ATTENZIONE: Data produzione non pianificata", IF(AND(ISBLANK(N15),AS15="C"), "ATTENZIONE: Data arrivo merce acquisti non presente", IF(O15-N15&gt;=AP15, "Data sped. utile INSERITA", "ATTENZIONE: GG. resa non adeguati")))</f>
        <v>Data sped. utile INSERITA</v>
      </c>
      <c r="AX15" s="71" t="str">
        <f ca="1">IF(ISBLANK(O15), "ATTENZIONE: Data non inserita", IF(O15&lt;=param!B2, "ATTENZIONE: Ritardo, Avvertire il cliente", "Data cons. rich. INSERITA"))</f>
        <v>Data cons. rich. INSERITA</v>
      </c>
      <c r="AY15" s="71" t="str">
        <f>IF(OR(ISBLANK(AP15),ISBLANK(AH15)), "ATTENZIONE: Vettore non associato", IF(V15="VETTORE", "Tipo spedizione: VETTORE", IF(V15="DESTINATARIO", "Tipo spedizione: DESTINATARIO", IF(ISBLANK(V15), "ATTENZIONE: Vettore vuoto", "?"))))</f>
        <v>ATTENZIONE: Vettore non associato</v>
      </c>
      <c r="AZ15" s="71" t="str">
        <f>IF(AM15=1, "Città OK", "ATTENZIONE: CAP non presente")</f>
        <v>Città OK</v>
      </c>
      <c r="BA15" s="73" t="s">
        <v>387</v>
      </c>
      <c r="BB15" s="73" t="str">
        <f ca="1">_xlfn.CONCAT(AW15," - ",AX15," - ",AY15," - ",AZ15," - ","Data: ",BA15)</f>
        <v>Data sped. utile INSERITA - Data cons. rich. INSERITA - ATTENZIONE: Vettore non associato - Città OK - Data: ATTENZIONE: Giorno congruo presa vettore</v>
      </c>
    </row>
    <row r="16" spans="1:54" x14ac:dyDescent="0.25">
      <c r="A16" s="75" t="s">
        <v>380</v>
      </c>
      <c r="B16" s="76">
        <v>15</v>
      </c>
      <c r="C16" s="76">
        <v>799</v>
      </c>
      <c r="D16" s="76">
        <v>0</v>
      </c>
      <c r="E16" s="85">
        <v>45972</v>
      </c>
      <c r="F16" s="76">
        <v>284</v>
      </c>
      <c r="G16" s="75" t="s">
        <v>448</v>
      </c>
      <c r="H16" s="75" t="s">
        <v>511</v>
      </c>
      <c r="I16" s="75" t="s">
        <v>512</v>
      </c>
      <c r="J16" s="75" t="s">
        <v>513</v>
      </c>
      <c r="K16" s="68">
        <v>640</v>
      </c>
      <c r="L16" s="86"/>
      <c r="M16" s="68">
        <v>640</v>
      </c>
      <c r="N16" s="85"/>
      <c r="O16" s="85">
        <v>46001</v>
      </c>
      <c r="P16" s="75" t="s">
        <v>414</v>
      </c>
      <c r="Q16" s="76">
        <v>8</v>
      </c>
      <c r="R16" s="76">
        <v>10</v>
      </c>
      <c r="S16" s="75" t="s">
        <v>37</v>
      </c>
      <c r="T16" s="75" t="s">
        <v>381</v>
      </c>
      <c r="U16" s="75" t="s">
        <v>415</v>
      </c>
      <c r="V16" s="75" t="s">
        <v>416</v>
      </c>
      <c r="W16" s="75" t="s">
        <v>449</v>
      </c>
      <c r="X16" s="75" t="s">
        <v>450</v>
      </c>
      <c r="Y16" s="76">
        <v>4</v>
      </c>
      <c r="Z16" s="75" t="s">
        <v>425</v>
      </c>
      <c r="AA16" s="76">
        <v>199</v>
      </c>
      <c r="AB16" s="75" t="s">
        <v>472</v>
      </c>
      <c r="AC16" s="76">
        <v>120</v>
      </c>
      <c r="AD16" s="76">
        <v>4</v>
      </c>
      <c r="AE16" s="75" t="s">
        <v>384</v>
      </c>
      <c r="AF16" s="76">
        <v>1</v>
      </c>
      <c r="AG16" s="75" t="s">
        <v>418</v>
      </c>
      <c r="AH16" s="76">
        <v>70</v>
      </c>
      <c r="AJ16" s="77" t="s">
        <v>684</v>
      </c>
      <c r="AK16" s="87"/>
      <c r="AL16" s="70" t="s">
        <v>366</v>
      </c>
      <c r="AM16" s="70">
        <v>1</v>
      </c>
      <c r="AN16" s="78"/>
      <c r="AO16" s="78"/>
      <c r="AP16" s="79"/>
      <c r="AQ16" s="71" t="str">
        <f>_xlfn.CONCAT(C16,"/",D16)</f>
        <v>799/0</v>
      </c>
      <c r="AR16" s="71" t="str">
        <f>IF(D16=0,"DA CONTRATTO","SPOT")</f>
        <v>DA CONTRATTO</v>
      </c>
      <c r="AS16" s="72" t="str">
        <f>IF(AD16=5,"P","C")</f>
        <v>C</v>
      </c>
      <c r="AT16" s="71">
        <f>VLOOKUP(S16,'FILE PALLETTIZZAZIONI DB SRL'!B:H,5,FALSE)</f>
        <v>2</v>
      </c>
      <c r="AU16" s="71" t="str">
        <f>TEXT(N16,"gggg")</f>
        <v>sabato</v>
      </c>
      <c r="AV16" s="71">
        <f>WEEKNUM(N16)</f>
        <v>0</v>
      </c>
      <c r="AW16" s="71" t="str">
        <f>IF(AND(ISBLANK(N16),AS16="P"), "ATTENZIONE: Data produzione non pianificata", IF(AND(ISBLANK(N16),AS16="C"), "ATTENZIONE: Data arrivo merce acquisti non presente", IF(O16-N16&gt;=AP16, "Data sped. utile INSERITA", "ATTENZIONE: GG. resa non adeguati")))</f>
        <v>ATTENZIONE: Data arrivo merce acquisti non presente</v>
      </c>
      <c r="AX16" s="71" t="str">
        <f ca="1">IF(ISBLANK(O16), "ATTENZIONE: Data non inserita", IF(O16&lt;=param!B2, "ATTENZIONE: Ritardo, Avvertire il cliente", "Data cons. rich. INSERITA"))</f>
        <v>Data cons. rich. INSERITA</v>
      </c>
      <c r="AY16" s="71" t="str">
        <f>IF(OR(ISBLANK(AP16),ISBLANK(AH16)), "ATTENZIONE: Vettore non associato", IF(V16="VETTORE", "Tipo spedizione: VETTORE", IF(V16="DESTINATARIO", "Tipo spedizione: DESTINATARIO", IF(ISBLANK(V16), "ATTENZIONE: Vettore vuoto", "?"))))</f>
        <v>ATTENZIONE: Vettore non associato</v>
      </c>
      <c r="AZ16" s="71" t="str">
        <f>IF(AM16=1, "Città OK", "ATTENZIONE: CAP non presente")</f>
        <v>Città OK</v>
      </c>
      <c r="BA16" s="73" t="s">
        <v>387</v>
      </c>
      <c r="BB16" s="73" t="str">
        <f ca="1">_xlfn.CONCAT(AW16," - ",AX16," - ",AY16," - ",AZ16," - ","Data: ",BA16)</f>
        <v>ATTENZIONE: Data arrivo merce acquisti non presente - Data cons. rich. INSERITA - ATTENZIONE: Vettore non associato - Città OK - Data: ATTENZIONE: Giorno congruo presa vettore</v>
      </c>
    </row>
    <row r="17" spans="1:54" x14ac:dyDescent="0.25">
      <c r="A17" s="75" t="s">
        <v>380</v>
      </c>
      <c r="B17" s="76">
        <v>16</v>
      </c>
      <c r="C17" s="76">
        <v>799</v>
      </c>
      <c r="D17" s="76">
        <v>0</v>
      </c>
      <c r="E17" s="85">
        <v>45972</v>
      </c>
      <c r="F17" s="76">
        <v>284</v>
      </c>
      <c r="G17" s="75" t="s">
        <v>448</v>
      </c>
      <c r="H17" s="75" t="s">
        <v>540</v>
      </c>
      <c r="I17" s="75" t="s">
        <v>541</v>
      </c>
      <c r="J17" s="75" t="s">
        <v>513</v>
      </c>
      <c r="K17" s="68">
        <v>0.5</v>
      </c>
      <c r="L17" s="86"/>
      <c r="M17" s="68">
        <v>0.5</v>
      </c>
      <c r="N17" s="85"/>
      <c r="O17" s="85">
        <v>46001</v>
      </c>
      <c r="P17" s="75" t="s">
        <v>414</v>
      </c>
      <c r="Q17" s="76">
        <v>8</v>
      </c>
      <c r="R17" s="76">
        <v>10</v>
      </c>
      <c r="S17" s="75" t="s">
        <v>509</v>
      </c>
      <c r="T17" s="75" t="s">
        <v>381</v>
      </c>
      <c r="U17" s="75" t="s">
        <v>415</v>
      </c>
      <c r="V17" s="75" t="s">
        <v>416</v>
      </c>
      <c r="W17" s="75" t="s">
        <v>449</v>
      </c>
      <c r="X17" s="75" t="s">
        <v>450</v>
      </c>
      <c r="Y17" s="76">
        <v>4</v>
      </c>
      <c r="Z17" s="75" t="s">
        <v>425</v>
      </c>
      <c r="AA17" s="76">
        <v>199</v>
      </c>
      <c r="AB17" s="75" t="s">
        <v>472</v>
      </c>
      <c r="AC17" s="76">
        <v>120</v>
      </c>
      <c r="AD17" s="76">
        <v>4</v>
      </c>
      <c r="AE17" s="75" t="s">
        <v>384</v>
      </c>
      <c r="AF17" s="76">
        <v>1</v>
      </c>
      <c r="AG17" s="75" t="s">
        <v>418</v>
      </c>
      <c r="AH17" s="76">
        <v>70</v>
      </c>
      <c r="AJ17" s="77" t="s">
        <v>684</v>
      </c>
      <c r="AK17" s="87"/>
      <c r="AL17" s="70" t="s">
        <v>366</v>
      </c>
      <c r="AM17" s="70">
        <v>1</v>
      </c>
      <c r="AN17" s="78"/>
      <c r="AO17" s="78"/>
      <c r="AP17" s="79"/>
      <c r="AQ17" s="71" t="str">
        <f>_xlfn.CONCAT(C17,"/",D17)</f>
        <v>799/0</v>
      </c>
      <c r="AR17" s="71" t="str">
        <f>IF(D17=0,"DA CONTRATTO","SPOT")</f>
        <v>DA CONTRATTO</v>
      </c>
      <c r="AS17" s="72" t="str">
        <f>IF(AD17=5,"P","C")</f>
        <v>C</v>
      </c>
      <c r="AT17" s="71" t="e">
        <f>VLOOKUP(S17,'FILE PALLETTIZZAZIONI DB SRL'!B:H,5,FALSE)</f>
        <v>#N/A</v>
      </c>
      <c r="AU17" s="71" t="str">
        <f>TEXT(N17,"gggg")</f>
        <v>sabato</v>
      </c>
      <c r="AV17" s="71">
        <f>WEEKNUM(N17)</f>
        <v>0</v>
      </c>
      <c r="AW17" s="71" t="str">
        <f>IF(AND(ISBLANK(N17),AS17="P"), "ATTENZIONE: Data produzione non pianificata", IF(AND(ISBLANK(N17),AS17="C"), "ATTENZIONE: Data arrivo merce acquisti non presente", IF(O17-N17&gt;=AP17, "Data sped. utile INSERITA", "ATTENZIONE: GG. resa non adeguati")))</f>
        <v>ATTENZIONE: Data arrivo merce acquisti non presente</v>
      </c>
      <c r="AX17" s="71" t="str">
        <f ca="1">IF(ISBLANK(O17), "ATTENZIONE: Data non inserita", IF(O17&lt;=param!B2, "ATTENZIONE: Ritardo, Avvertire il cliente", "Data cons. rich. INSERITA"))</f>
        <v>Data cons. rich. INSERITA</v>
      </c>
      <c r="AY17" s="71" t="str">
        <f>IF(OR(ISBLANK(AP17),ISBLANK(AH17)), "ATTENZIONE: Vettore non associato", IF(V17="VETTORE", "Tipo spedizione: VETTORE", IF(V17="DESTINATARIO", "Tipo spedizione: DESTINATARIO", IF(ISBLANK(V17), "ATTENZIONE: Vettore vuoto", "?"))))</f>
        <v>ATTENZIONE: Vettore non associato</v>
      </c>
      <c r="AZ17" s="71" t="str">
        <f>IF(AM17=1, "Città OK", "ATTENZIONE: CAP non presente")</f>
        <v>Città OK</v>
      </c>
      <c r="BA17" s="73" t="s">
        <v>387</v>
      </c>
      <c r="BB17" s="73" t="str">
        <f ca="1">_xlfn.CONCAT(AW17," - ",AX17," - ",AY17," - ",AZ17," - ","Data: ",BA17)</f>
        <v>ATTENZIONE: Data arrivo merce acquisti non presente - Data cons. rich. INSERITA - ATTENZIONE: Vettore non associato - Città OK - Data: ATTENZIONE: Giorno congruo presa vettore</v>
      </c>
    </row>
    <row r="18" spans="1:54" x14ac:dyDescent="0.25">
      <c r="A18" s="75" t="s">
        <v>380</v>
      </c>
      <c r="B18" s="76">
        <v>17</v>
      </c>
      <c r="C18" s="76">
        <v>800</v>
      </c>
      <c r="D18" s="76">
        <v>0</v>
      </c>
      <c r="E18" s="85">
        <v>45972</v>
      </c>
      <c r="F18" s="76">
        <v>284</v>
      </c>
      <c r="G18" s="75" t="s">
        <v>448</v>
      </c>
      <c r="H18" s="75" t="s">
        <v>515</v>
      </c>
      <c r="I18" s="75" t="s">
        <v>516</v>
      </c>
      <c r="J18" s="75" t="s">
        <v>517</v>
      </c>
      <c r="K18" s="68">
        <v>640</v>
      </c>
      <c r="L18" s="86"/>
      <c r="M18" s="68">
        <v>640</v>
      </c>
      <c r="N18" s="85">
        <v>45996</v>
      </c>
      <c r="O18" s="85">
        <v>46001</v>
      </c>
      <c r="P18" s="75" t="s">
        <v>414</v>
      </c>
      <c r="Q18" s="76">
        <v>8</v>
      </c>
      <c r="R18" s="76">
        <v>10</v>
      </c>
      <c r="S18" s="75" t="s">
        <v>37</v>
      </c>
      <c r="T18" s="75" t="s">
        <v>381</v>
      </c>
      <c r="U18" s="75" t="s">
        <v>415</v>
      </c>
      <c r="V18" s="75" t="s">
        <v>416</v>
      </c>
      <c r="W18" s="75" t="s">
        <v>449</v>
      </c>
      <c r="X18" s="75" t="s">
        <v>450</v>
      </c>
      <c r="Y18" s="76">
        <v>5</v>
      </c>
      <c r="Z18" s="75" t="s">
        <v>425</v>
      </c>
      <c r="AA18" s="76">
        <v>208</v>
      </c>
      <c r="AB18" s="75" t="s">
        <v>426</v>
      </c>
      <c r="AC18" s="76">
        <v>120</v>
      </c>
      <c r="AD18" s="76">
        <v>5</v>
      </c>
      <c r="AE18" s="75" t="s">
        <v>383</v>
      </c>
      <c r="AF18" s="76">
        <v>1</v>
      </c>
      <c r="AG18" s="75" t="s">
        <v>418</v>
      </c>
      <c r="AH18" s="76">
        <v>70</v>
      </c>
      <c r="AJ18" s="77" t="s">
        <v>685</v>
      </c>
      <c r="AK18" s="87"/>
      <c r="AL18" s="70" t="s">
        <v>366</v>
      </c>
      <c r="AM18" s="70">
        <v>1</v>
      </c>
      <c r="AN18" s="78"/>
      <c r="AO18" s="78"/>
      <c r="AP18" s="79"/>
      <c r="AQ18" s="71" t="str">
        <f>_xlfn.CONCAT(C18,"/",D18)</f>
        <v>800/0</v>
      </c>
      <c r="AR18" s="71" t="str">
        <f>IF(D18=0,"DA CONTRATTO","SPOT")</f>
        <v>DA CONTRATTO</v>
      </c>
      <c r="AS18" s="72" t="str">
        <f>IF(AD18=5,"P","C")</f>
        <v>P</v>
      </c>
      <c r="AT18" s="71">
        <f>VLOOKUP(S18,'FILE PALLETTIZZAZIONI DB SRL'!B:H,5,FALSE)</f>
        <v>2</v>
      </c>
      <c r="AU18" s="71" t="str">
        <f>TEXT(N18,"gggg")</f>
        <v>venerdì</v>
      </c>
      <c r="AV18" s="71">
        <f>WEEKNUM(N18)</f>
        <v>49</v>
      </c>
      <c r="AW18" s="71" t="str">
        <f>IF(AND(ISBLANK(N18),AS18="P"), "ATTENZIONE: Data produzione non pianificata", IF(AND(ISBLANK(N18),AS18="C"), "ATTENZIONE: Data arrivo merce acquisti non presente", IF(O18-N18&gt;=AP18, "Data sped. utile INSERITA", "ATTENZIONE: GG. resa non adeguati")))</f>
        <v>Data sped. utile INSERITA</v>
      </c>
      <c r="AX18" s="71" t="str">
        <f ca="1">IF(ISBLANK(O18), "ATTENZIONE: Data non inserita", IF(O18&lt;=param!B2, "ATTENZIONE: Ritardo, Avvertire il cliente", "Data cons. rich. INSERITA"))</f>
        <v>Data cons. rich. INSERITA</v>
      </c>
      <c r="AY18" s="71" t="str">
        <f>IF(OR(ISBLANK(AP18),ISBLANK(AH18)), "ATTENZIONE: Vettore non associato", IF(V18="VETTORE", "Tipo spedizione: VETTORE", IF(V18="DESTINATARIO", "Tipo spedizione: DESTINATARIO", IF(ISBLANK(V18), "ATTENZIONE: Vettore vuoto", "?"))))</f>
        <v>ATTENZIONE: Vettore non associato</v>
      </c>
      <c r="AZ18" s="71" t="str">
        <f>IF(AM18=1, "Città OK", "ATTENZIONE: CAP non presente")</f>
        <v>Città OK</v>
      </c>
      <c r="BA18" s="73" t="s">
        <v>387</v>
      </c>
      <c r="BB18" s="73" t="str">
        <f ca="1">_xlfn.CONCAT(AW18," - ",AX18," - ",AY18," - ",AZ18," - ","Data: ",BA18)</f>
        <v>Data sped. utile INSERITA - Data cons. rich. INSERITA - ATTENZIONE: Vettore non associato - Città OK - Data: ATTENZIONE: Giorno congruo presa vettore</v>
      </c>
    </row>
    <row r="19" spans="1:54" x14ac:dyDescent="0.25">
      <c r="A19" s="75" t="s">
        <v>380</v>
      </c>
      <c r="B19" s="76">
        <v>18</v>
      </c>
      <c r="C19" s="76">
        <v>800</v>
      </c>
      <c r="D19" s="76">
        <v>0</v>
      </c>
      <c r="E19" s="85">
        <v>45972</v>
      </c>
      <c r="F19" s="76">
        <v>284</v>
      </c>
      <c r="G19" s="75" t="s">
        <v>448</v>
      </c>
      <c r="H19" s="75" t="s">
        <v>542</v>
      </c>
      <c r="I19" s="75" t="s">
        <v>543</v>
      </c>
      <c r="J19" s="75" t="s">
        <v>517</v>
      </c>
      <c r="K19" s="68">
        <v>0.5</v>
      </c>
      <c r="L19" s="86"/>
      <c r="M19" s="68">
        <v>0.5</v>
      </c>
      <c r="N19" s="85">
        <v>45996</v>
      </c>
      <c r="O19" s="85">
        <v>46001</v>
      </c>
      <c r="P19" s="75" t="s">
        <v>414</v>
      </c>
      <c r="Q19" s="76">
        <v>8</v>
      </c>
      <c r="R19" s="76">
        <v>10</v>
      </c>
      <c r="S19" s="75" t="s">
        <v>509</v>
      </c>
      <c r="T19" s="75" t="s">
        <v>381</v>
      </c>
      <c r="U19" s="75" t="s">
        <v>415</v>
      </c>
      <c r="V19" s="75" t="s">
        <v>416</v>
      </c>
      <c r="W19" s="75" t="s">
        <v>449</v>
      </c>
      <c r="X19" s="75" t="s">
        <v>450</v>
      </c>
      <c r="Y19" s="76">
        <v>5</v>
      </c>
      <c r="Z19" s="75" t="s">
        <v>425</v>
      </c>
      <c r="AA19" s="76">
        <v>208</v>
      </c>
      <c r="AB19" s="75" t="s">
        <v>426</v>
      </c>
      <c r="AC19" s="76">
        <v>120</v>
      </c>
      <c r="AD19" s="76">
        <v>5</v>
      </c>
      <c r="AE19" s="75" t="s">
        <v>383</v>
      </c>
      <c r="AF19" s="76">
        <v>1</v>
      </c>
      <c r="AG19" s="75" t="s">
        <v>418</v>
      </c>
      <c r="AH19" s="76">
        <v>70</v>
      </c>
      <c r="AJ19" s="77" t="s">
        <v>685</v>
      </c>
      <c r="AK19" s="87"/>
      <c r="AL19" s="70" t="s">
        <v>366</v>
      </c>
      <c r="AM19" s="70">
        <v>1</v>
      </c>
      <c r="AN19" s="78"/>
      <c r="AO19" s="78"/>
      <c r="AP19" s="79"/>
      <c r="AQ19" s="71" t="str">
        <f>_xlfn.CONCAT(C19,"/",D19)</f>
        <v>800/0</v>
      </c>
      <c r="AR19" s="71" t="str">
        <f>IF(D19=0,"DA CONTRATTO","SPOT")</f>
        <v>DA CONTRATTO</v>
      </c>
      <c r="AS19" s="72" t="str">
        <f>IF(AD19=5,"P","C")</f>
        <v>P</v>
      </c>
      <c r="AT19" s="71" t="e">
        <f>VLOOKUP(S19,'FILE PALLETTIZZAZIONI DB SRL'!B:H,5,FALSE)</f>
        <v>#N/A</v>
      </c>
      <c r="AU19" s="71" t="str">
        <f>TEXT(N19,"gggg")</f>
        <v>venerdì</v>
      </c>
      <c r="AV19" s="71">
        <f>WEEKNUM(N19)</f>
        <v>49</v>
      </c>
      <c r="AW19" s="71" t="str">
        <f>IF(AND(ISBLANK(N19),AS19="P"), "ATTENZIONE: Data produzione non pianificata", IF(AND(ISBLANK(N19),AS19="C"), "ATTENZIONE: Data arrivo merce acquisti non presente", IF(O19-N19&gt;=AP19, "Data sped. utile INSERITA", "ATTENZIONE: GG. resa non adeguati")))</f>
        <v>Data sped. utile INSERITA</v>
      </c>
      <c r="AX19" s="71" t="str">
        <f ca="1">IF(ISBLANK(O19), "ATTENZIONE: Data non inserita", IF(O19&lt;=param!B2, "ATTENZIONE: Ritardo, Avvertire il cliente", "Data cons. rich. INSERITA"))</f>
        <v>Data cons. rich. INSERITA</v>
      </c>
      <c r="AY19" s="71" t="str">
        <f>IF(OR(ISBLANK(AP19),ISBLANK(AH19)), "ATTENZIONE: Vettore non associato", IF(V19="VETTORE", "Tipo spedizione: VETTORE", IF(V19="DESTINATARIO", "Tipo spedizione: DESTINATARIO", IF(ISBLANK(V19), "ATTENZIONE: Vettore vuoto", "?"))))</f>
        <v>ATTENZIONE: Vettore non associato</v>
      </c>
      <c r="AZ19" s="71" t="str">
        <f>IF(AM19=1, "Città OK", "ATTENZIONE: CAP non presente")</f>
        <v>Città OK</v>
      </c>
      <c r="BA19" s="73" t="s">
        <v>387</v>
      </c>
      <c r="BB19" s="73" t="str">
        <f ca="1">_xlfn.CONCAT(AW19," - ",AX19," - ",AY19," - ",AZ19," - ","Data: ",BA19)</f>
        <v>Data sped. utile INSERITA - Data cons. rich. INSERITA - ATTENZIONE: Vettore non associato - Città OK - Data: ATTENZIONE: Giorno congruo presa vettore</v>
      </c>
    </row>
    <row r="20" spans="1:54" x14ac:dyDescent="0.25">
      <c r="A20" s="75" t="s">
        <v>380</v>
      </c>
      <c r="B20" s="76">
        <v>19</v>
      </c>
      <c r="C20" s="76">
        <v>813</v>
      </c>
      <c r="D20" s="76">
        <v>0</v>
      </c>
      <c r="E20" s="85">
        <v>45975</v>
      </c>
      <c r="F20" s="76">
        <v>284</v>
      </c>
      <c r="G20" s="75" t="s">
        <v>448</v>
      </c>
      <c r="H20" s="75" t="s">
        <v>469</v>
      </c>
      <c r="I20" s="75" t="s">
        <v>470</v>
      </c>
      <c r="J20" s="75" t="s">
        <v>471</v>
      </c>
      <c r="K20" s="68">
        <v>640</v>
      </c>
      <c r="L20" s="86"/>
      <c r="M20" s="68">
        <v>640</v>
      </c>
      <c r="N20" s="85"/>
      <c r="O20" s="85">
        <v>46009</v>
      </c>
      <c r="P20" s="75" t="s">
        <v>31</v>
      </c>
      <c r="Q20" s="76">
        <v>8</v>
      </c>
      <c r="R20" s="76">
        <v>10</v>
      </c>
      <c r="S20" s="75" t="s">
        <v>37</v>
      </c>
      <c r="T20" s="75" t="s">
        <v>381</v>
      </c>
      <c r="U20" s="75" t="s">
        <v>415</v>
      </c>
      <c r="V20" s="75" t="s">
        <v>416</v>
      </c>
      <c r="W20" s="75" t="s">
        <v>449</v>
      </c>
      <c r="X20" s="75" t="s">
        <v>450</v>
      </c>
      <c r="Y20" s="76">
        <v>4</v>
      </c>
      <c r="Z20" s="75" t="s">
        <v>425</v>
      </c>
      <c r="AA20" s="76">
        <v>199</v>
      </c>
      <c r="AB20" s="75" t="s">
        <v>472</v>
      </c>
      <c r="AC20" s="76">
        <v>120</v>
      </c>
      <c r="AD20" s="76">
        <v>4</v>
      </c>
      <c r="AE20" s="75" t="s">
        <v>384</v>
      </c>
      <c r="AF20" s="76">
        <v>1</v>
      </c>
      <c r="AG20" s="75" t="s">
        <v>418</v>
      </c>
      <c r="AH20" s="76">
        <v>2</v>
      </c>
      <c r="AJ20" s="77" t="s">
        <v>723</v>
      </c>
      <c r="AK20" s="87"/>
      <c r="AL20" s="70" t="s">
        <v>366</v>
      </c>
      <c r="AM20" s="70">
        <v>1</v>
      </c>
      <c r="AN20" s="78"/>
      <c r="AO20" s="78"/>
      <c r="AP20" s="79"/>
      <c r="AQ20" s="71" t="str">
        <f>_xlfn.CONCAT(C20,"/",D20)</f>
        <v>813/0</v>
      </c>
      <c r="AR20" s="71" t="str">
        <f>IF(D20=0,"DA CONTRATTO","SPOT")</f>
        <v>DA CONTRATTO</v>
      </c>
      <c r="AS20" s="72" t="str">
        <f>IF(AD20=5,"P","C")</f>
        <v>C</v>
      </c>
      <c r="AT20" s="71">
        <f>VLOOKUP(S20,'FILE PALLETTIZZAZIONI DB SRL'!B:H,5,FALSE)</f>
        <v>2</v>
      </c>
      <c r="AU20" s="71" t="str">
        <f>TEXT(N20,"gggg")</f>
        <v>sabato</v>
      </c>
      <c r="AV20" s="71">
        <f>WEEKNUM(N20)</f>
        <v>0</v>
      </c>
      <c r="AW20" s="71" t="str">
        <f>IF(AND(ISBLANK(N20),AS20="P"), "ATTENZIONE: Data produzione non pianificata", IF(AND(ISBLANK(N20),AS20="C"), "ATTENZIONE: Data arrivo merce acquisti non presente", IF(O20-N20&gt;=AP20, "Data sped. utile INSERITA", "ATTENZIONE: GG. resa non adeguati")))</f>
        <v>ATTENZIONE: Data arrivo merce acquisti non presente</v>
      </c>
      <c r="AX20" s="71" t="str">
        <f ca="1">IF(ISBLANK(O20), "ATTENZIONE: Data non inserita", IF(O20&lt;=param!B2, "ATTENZIONE: Ritardo, Avvertire il cliente", "Data cons. rich. INSERITA"))</f>
        <v>Data cons. rich. INSERITA</v>
      </c>
      <c r="AY20" s="71" t="str">
        <f>IF(OR(ISBLANK(AP20),ISBLANK(AH20)), "ATTENZIONE: Vettore non associato", IF(V20="VETTORE", "Tipo spedizione: VETTORE", IF(V20="DESTINATARIO", "Tipo spedizione: DESTINATARIO", IF(ISBLANK(V20), "ATTENZIONE: Vettore vuoto", "?"))))</f>
        <v>ATTENZIONE: Vettore non associato</v>
      </c>
      <c r="AZ20" s="71" t="str">
        <f>IF(AM20=1, "Città OK", "ATTENZIONE: CAP non presente")</f>
        <v>Città OK</v>
      </c>
      <c r="BA20" s="73" t="s">
        <v>387</v>
      </c>
      <c r="BB20" s="73" t="str">
        <f ca="1">_xlfn.CONCAT(AW20," - ",AX20," - ",AY20," - ",AZ20," - ","Data: ",BA20)</f>
        <v>ATTENZIONE: Data arrivo merce acquisti non presente - Data cons. rich. INSERITA - ATTENZIONE: Vettore non associato - Città OK - Data: ATTENZIONE: Giorno congruo presa vettore</v>
      </c>
    </row>
    <row r="21" spans="1:54" x14ac:dyDescent="0.25">
      <c r="A21" s="75" t="s">
        <v>380</v>
      </c>
      <c r="B21" s="76">
        <v>20</v>
      </c>
      <c r="C21" s="76">
        <v>813</v>
      </c>
      <c r="D21" s="76">
        <v>0</v>
      </c>
      <c r="E21" s="85">
        <v>45975</v>
      </c>
      <c r="F21" s="76">
        <v>284</v>
      </c>
      <c r="G21" s="75" t="s">
        <v>448</v>
      </c>
      <c r="H21" s="75" t="s">
        <v>510</v>
      </c>
      <c r="I21" s="75" t="s">
        <v>508</v>
      </c>
      <c r="J21" s="75" t="s">
        <v>471</v>
      </c>
      <c r="K21" s="68">
        <v>0.5</v>
      </c>
      <c r="L21" s="86"/>
      <c r="M21" s="68">
        <v>0.5</v>
      </c>
      <c r="N21" s="85"/>
      <c r="O21" s="85">
        <v>46009</v>
      </c>
      <c r="P21" s="75" t="s">
        <v>31</v>
      </c>
      <c r="Q21" s="76">
        <v>8</v>
      </c>
      <c r="R21" s="76">
        <v>10</v>
      </c>
      <c r="S21" s="75" t="s">
        <v>509</v>
      </c>
      <c r="T21" s="75" t="s">
        <v>381</v>
      </c>
      <c r="U21" s="75" t="s">
        <v>415</v>
      </c>
      <c r="V21" s="75" t="s">
        <v>416</v>
      </c>
      <c r="W21" s="75" t="s">
        <v>449</v>
      </c>
      <c r="X21" s="75" t="s">
        <v>450</v>
      </c>
      <c r="Y21" s="76">
        <v>4</v>
      </c>
      <c r="Z21" s="75" t="s">
        <v>425</v>
      </c>
      <c r="AA21" s="76">
        <v>199</v>
      </c>
      <c r="AB21" s="75" t="s">
        <v>472</v>
      </c>
      <c r="AC21" s="76">
        <v>120</v>
      </c>
      <c r="AD21" s="76">
        <v>4</v>
      </c>
      <c r="AE21" s="75" t="s">
        <v>384</v>
      </c>
      <c r="AF21" s="76">
        <v>1</v>
      </c>
      <c r="AG21" s="75" t="s">
        <v>418</v>
      </c>
      <c r="AH21" s="76">
        <v>2</v>
      </c>
      <c r="AJ21" s="77" t="s">
        <v>723</v>
      </c>
      <c r="AK21" s="87"/>
      <c r="AL21" s="70" t="s">
        <v>366</v>
      </c>
      <c r="AM21" s="70">
        <v>1</v>
      </c>
      <c r="AN21" s="78"/>
      <c r="AO21" s="78"/>
      <c r="AP21" s="79"/>
      <c r="AQ21" s="71" t="str">
        <f>_xlfn.CONCAT(C21,"/",D21)</f>
        <v>813/0</v>
      </c>
      <c r="AR21" s="71" t="str">
        <f>IF(D21=0,"DA CONTRATTO","SPOT")</f>
        <v>DA CONTRATTO</v>
      </c>
      <c r="AS21" s="72" t="str">
        <f>IF(AD21=5,"P","C")</f>
        <v>C</v>
      </c>
      <c r="AT21" s="71" t="e">
        <f>VLOOKUP(S21,'FILE PALLETTIZZAZIONI DB SRL'!B:H,5,FALSE)</f>
        <v>#N/A</v>
      </c>
      <c r="AU21" s="71" t="str">
        <f>TEXT(N21,"gggg")</f>
        <v>sabato</v>
      </c>
      <c r="AV21" s="71">
        <f>WEEKNUM(N21)</f>
        <v>0</v>
      </c>
      <c r="AW21" s="71" t="str">
        <f>IF(AND(ISBLANK(N21),AS21="P"), "ATTENZIONE: Data produzione non pianificata", IF(AND(ISBLANK(N21),AS21="C"), "ATTENZIONE: Data arrivo merce acquisti non presente", IF(O21-N21&gt;=AP21, "Data sped. utile INSERITA", "ATTENZIONE: GG. resa non adeguati")))</f>
        <v>ATTENZIONE: Data arrivo merce acquisti non presente</v>
      </c>
      <c r="AX21" s="71" t="str">
        <f ca="1">IF(ISBLANK(O21), "ATTENZIONE: Data non inserita", IF(O21&lt;=param!B2, "ATTENZIONE: Ritardo, Avvertire il cliente", "Data cons. rich. INSERITA"))</f>
        <v>Data cons. rich. INSERITA</v>
      </c>
      <c r="AY21" s="71" t="str">
        <f>IF(OR(ISBLANK(AP21),ISBLANK(AH21)), "ATTENZIONE: Vettore non associato", IF(V21="VETTORE", "Tipo spedizione: VETTORE", IF(V21="DESTINATARIO", "Tipo spedizione: DESTINATARIO", IF(ISBLANK(V21), "ATTENZIONE: Vettore vuoto", "?"))))</f>
        <v>ATTENZIONE: Vettore non associato</v>
      </c>
      <c r="AZ21" s="71" t="str">
        <f>IF(AM21=1, "Città OK", "ATTENZIONE: CAP non presente")</f>
        <v>Città OK</v>
      </c>
      <c r="BA21" s="73" t="s">
        <v>387</v>
      </c>
      <c r="BB21" s="73" t="str">
        <f ca="1">_xlfn.CONCAT(AW21," - ",AX21," - ",AY21," - ",AZ21," - ","Data: ",BA21)</f>
        <v>ATTENZIONE: Data arrivo merce acquisti non presente - Data cons. rich. INSERITA - ATTENZIONE: Vettore non associato - Città OK - Data: ATTENZIONE: Giorno congruo presa vettore</v>
      </c>
    </row>
    <row r="22" spans="1:54" x14ac:dyDescent="0.25">
      <c r="A22" s="75" t="s">
        <v>380</v>
      </c>
      <c r="B22" s="76">
        <v>21</v>
      </c>
      <c r="C22" s="76">
        <v>814</v>
      </c>
      <c r="D22" s="76">
        <v>0</v>
      </c>
      <c r="E22" s="85">
        <v>45975</v>
      </c>
      <c r="F22" s="76">
        <v>284</v>
      </c>
      <c r="G22" s="75" t="s">
        <v>448</v>
      </c>
      <c r="H22" s="75" t="s">
        <v>478</v>
      </c>
      <c r="I22" s="75" t="s">
        <v>479</v>
      </c>
      <c r="J22" s="75" t="s">
        <v>480</v>
      </c>
      <c r="K22" s="68">
        <v>640</v>
      </c>
      <c r="L22" s="86"/>
      <c r="M22" s="68">
        <v>640</v>
      </c>
      <c r="N22" s="85"/>
      <c r="O22" s="85">
        <v>46009</v>
      </c>
      <c r="P22" s="75" t="s">
        <v>31</v>
      </c>
      <c r="Q22" s="76">
        <v>8</v>
      </c>
      <c r="R22" s="76">
        <v>10</v>
      </c>
      <c r="S22" s="75" t="s">
        <v>37</v>
      </c>
      <c r="T22" s="75" t="s">
        <v>381</v>
      </c>
      <c r="U22" s="75" t="s">
        <v>415</v>
      </c>
      <c r="V22" s="75" t="s">
        <v>416</v>
      </c>
      <c r="W22" s="75" t="s">
        <v>449</v>
      </c>
      <c r="X22" s="75" t="s">
        <v>450</v>
      </c>
      <c r="Y22" s="76">
        <v>5</v>
      </c>
      <c r="Z22" s="75" t="s">
        <v>425</v>
      </c>
      <c r="AA22" s="76">
        <v>208</v>
      </c>
      <c r="AB22" s="75" t="s">
        <v>426</v>
      </c>
      <c r="AC22" s="76">
        <v>120</v>
      </c>
      <c r="AD22" s="76">
        <v>5</v>
      </c>
      <c r="AE22" s="75" t="s">
        <v>383</v>
      </c>
      <c r="AF22" s="76">
        <v>1</v>
      </c>
      <c r="AG22" s="75" t="s">
        <v>418</v>
      </c>
      <c r="AH22" s="76">
        <v>2</v>
      </c>
      <c r="AJ22" s="77" t="s">
        <v>724</v>
      </c>
      <c r="AK22" s="87"/>
      <c r="AL22" s="70" t="s">
        <v>366</v>
      </c>
      <c r="AM22" s="70">
        <v>1</v>
      </c>
      <c r="AN22" s="78"/>
      <c r="AO22" s="78"/>
      <c r="AP22" s="79"/>
      <c r="AQ22" s="71" t="str">
        <f>_xlfn.CONCAT(C22,"/",D22)</f>
        <v>814/0</v>
      </c>
      <c r="AR22" s="71" t="str">
        <f>IF(D22=0,"DA CONTRATTO","SPOT")</f>
        <v>DA CONTRATTO</v>
      </c>
      <c r="AS22" s="72" t="str">
        <f>IF(AD22=5,"P","C")</f>
        <v>P</v>
      </c>
      <c r="AT22" s="71">
        <f>VLOOKUP(S22,'FILE PALLETTIZZAZIONI DB SRL'!B:H,5,FALSE)</f>
        <v>2</v>
      </c>
      <c r="AU22" s="71" t="str">
        <f>TEXT(N22,"gggg")</f>
        <v>sabato</v>
      </c>
      <c r="AV22" s="71">
        <f>WEEKNUM(N22)</f>
        <v>0</v>
      </c>
      <c r="AW22" s="71" t="str">
        <f>IF(AND(ISBLANK(N22),AS22="P"), "ATTENZIONE: Data produzione non pianificata", IF(AND(ISBLANK(N22),AS22="C"), "ATTENZIONE: Data arrivo merce acquisti non presente", IF(O22-N22&gt;=AP22, "Data sped. utile INSERITA", "ATTENZIONE: GG. resa non adeguati")))</f>
        <v>ATTENZIONE: Data produzione non pianificata</v>
      </c>
      <c r="AX22" s="71" t="str">
        <f ca="1">IF(ISBLANK(O22), "ATTENZIONE: Data non inserita", IF(O22&lt;=param!B2, "ATTENZIONE: Ritardo, Avvertire il cliente", "Data cons. rich. INSERITA"))</f>
        <v>Data cons. rich. INSERITA</v>
      </c>
      <c r="AY22" s="71" t="str">
        <f>IF(OR(ISBLANK(AP22),ISBLANK(AH22)), "ATTENZIONE: Vettore non associato", IF(V22="VETTORE", "Tipo spedizione: VETTORE", IF(V22="DESTINATARIO", "Tipo spedizione: DESTINATARIO", IF(ISBLANK(V22), "ATTENZIONE: Vettore vuoto", "?"))))</f>
        <v>ATTENZIONE: Vettore non associato</v>
      </c>
      <c r="AZ22" s="71" t="str">
        <f>IF(AM22=1, "Città OK", "ATTENZIONE: CAP non presente")</f>
        <v>Città OK</v>
      </c>
      <c r="BA22" s="73" t="s">
        <v>387</v>
      </c>
      <c r="BB22" s="73" t="str">
        <f ca="1">_xlfn.CONCAT(AW22," - ",AX22," - ",AY22," - ",AZ22," - ","Data: ",BA22)</f>
        <v>ATTENZIONE: Data produzione non pianificata - Data cons. rich. INSERITA - ATTENZIONE: Vettore non associato - Città OK - Data: ATTENZIONE: Giorno congruo presa vettore</v>
      </c>
    </row>
    <row r="23" spans="1:54" x14ac:dyDescent="0.25">
      <c r="A23" s="75" t="s">
        <v>380</v>
      </c>
      <c r="B23" s="76">
        <v>22</v>
      </c>
      <c r="C23" s="76">
        <v>814</v>
      </c>
      <c r="D23" s="76">
        <v>0</v>
      </c>
      <c r="E23" s="85">
        <v>45975</v>
      </c>
      <c r="F23" s="76">
        <v>284</v>
      </c>
      <c r="G23" s="75" t="s">
        <v>448</v>
      </c>
      <c r="H23" s="75" t="s">
        <v>538</v>
      </c>
      <c r="I23" s="75" t="s">
        <v>539</v>
      </c>
      <c r="J23" s="75" t="s">
        <v>480</v>
      </c>
      <c r="K23" s="68">
        <v>0.5</v>
      </c>
      <c r="L23" s="86"/>
      <c r="M23" s="68">
        <v>0.5</v>
      </c>
      <c r="N23" s="85"/>
      <c r="O23" s="85">
        <v>46009</v>
      </c>
      <c r="P23" s="75" t="s">
        <v>31</v>
      </c>
      <c r="Q23" s="76">
        <v>8</v>
      </c>
      <c r="R23" s="76">
        <v>10</v>
      </c>
      <c r="S23" s="75" t="s">
        <v>509</v>
      </c>
      <c r="T23" s="75" t="s">
        <v>381</v>
      </c>
      <c r="U23" s="75" t="s">
        <v>415</v>
      </c>
      <c r="V23" s="75" t="s">
        <v>416</v>
      </c>
      <c r="W23" s="75" t="s">
        <v>449</v>
      </c>
      <c r="X23" s="75" t="s">
        <v>450</v>
      </c>
      <c r="Y23" s="76">
        <v>5</v>
      </c>
      <c r="Z23" s="75" t="s">
        <v>425</v>
      </c>
      <c r="AA23" s="76">
        <v>208</v>
      </c>
      <c r="AB23" s="75" t="s">
        <v>426</v>
      </c>
      <c r="AC23" s="76">
        <v>120</v>
      </c>
      <c r="AD23" s="76">
        <v>5</v>
      </c>
      <c r="AE23" s="75" t="s">
        <v>383</v>
      </c>
      <c r="AF23" s="76">
        <v>1</v>
      </c>
      <c r="AG23" s="75" t="s">
        <v>418</v>
      </c>
      <c r="AH23" s="76">
        <v>2</v>
      </c>
      <c r="AJ23" s="77" t="s">
        <v>724</v>
      </c>
      <c r="AK23" s="87"/>
      <c r="AL23" s="70" t="s">
        <v>366</v>
      </c>
      <c r="AM23" s="70">
        <v>1</v>
      </c>
      <c r="AN23" s="78"/>
      <c r="AO23" s="78"/>
      <c r="AP23" s="79"/>
      <c r="AQ23" s="71" t="str">
        <f>_xlfn.CONCAT(C23,"/",D23)</f>
        <v>814/0</v>
      </c>
      <c r="AR23" s="71" t="str">
        <f>IF(D23=0,"DA CONTRATTO","SPOT")</f>
        <v>DA CONTRATTO</v>
      </c>
      <c r="AS23" s="72" t="str">
        <f>IF(AD23=5,"P","C")</f>
        <v>P</v>
      </c>
      <c r="AT23" s="71" t="e">
        <f>VLOOKUP(S23,'FILE PALLETTIZZAZIONI DB SRL'!B:H,5,FALSE)</f>
        <v>#N/A</v>
      </c>
      <c r="AU23" s="71" t="str">
        <f>TEXT(N23,"gggg")</f>
        <v>sabato</v>
      </c>
      <c r="AV23" s="71">
        <f>WEEKNUM(N23)</f>
        <v>0</v>
      </c>
      <c r="AW23" s="71" t="str">
        <f>IF(AND(ISBLANK(N23),AS23="P"), "ATTENZIONE: Data produzione non pianificata", IF(AND(ISBLANK(N23),AS23="C"), "ATTENZIONE: Data arrivo merce acquisti non presente", IF(O23-N23&gt;=AP23, "Data sped. utile INSERITA", "ATTENZIONE: GG. resa non adeguati")))</f>
        <v>ATTENZIONE: Data produzione non pianificata</v>
      </c>
      <c r="AX23" s="71" t="str">
        <f ca="1">IF(ISBLANK(O23), "ATTENZIONE: Data non inserita", IF(O23&lt;=param!B2, "ATTENZIONE: Ritardo, Avvertire il cliente", "Data cons. rich. INSERITA"))</f>
        <v>Data cons. rich. INSERITA</v>
      </c>
      <c r="AY23" s="71" t="str">
        <f>IF(OR(ISBLANK(AP23),ISBLANK(AH23)), "ATTENZIONE: Vettore non associato", IF(V23="VETTORE", "Tipo spedizione: VETTORE", IF(V23="DESTINATARIO", "Tipo spedizione: DESTINATARIO", IF(ISBLANK(V23), "ATTENZIONE: Vettore vuoto", "?"))))</f>
        <v>ATTENZIONE: Vettore non associato</v>
      </c>
      <c r="AZ23" s="71" t="str">
        <f>IF(AM23=1, "Città OK", "ATTENZIONE: CAP non presente")</f>
        <v>Città OK</v>
      </c>
      <c r="BA23" s="73" t="s">
        <v>387</v>
      </c>
      <c r="BB23" s="73" t="str">
        <f ca="1">_xlfn.CONCAT(AW23," - ",AX23," - ",AY23," - ",AZ23," - ","Data: ",BA23)</f>
        <v>ATTENZIONE: Data produzione non pianificata - Data cons. rich. INSERITA - ATTENZIONE: Vettore non associato - Città OK - Data: ATTENZIONE: Giorno congruo presa vettore</v>
      </c>
    </row>
    <row r="24" spans="1:54" x14ac:dyDescent="0.25">
      <c r="A24" s="75" t="s">
        <v>380</v>
      </c>
      <c r="B24" s="76">
        <v>23</v>
      </c>
      <c r="C24" s="76">
        <v>776</v>
      </c>
      <c r="D24" s="76">
        <v>0</v>
      </c>
      <c r="E24" s="85">
        <v>45958</v>
      </c>
      <c r="F24" s="76">
        <v>343</v>
      </c>
      <c r="G24" s="75" t="s">
        <v>519</v>
      </c>
      <c r="H24" s="75" t="s">
        <v>520</v>
      </c>
      <c r="I24" s="75" t="s">
        <v>521</v>
      </c>
      <c r="J24" s="75" t="s">
        <v>522</v>
      </c>
      <c r="K24" s="68">
        <v>1000</v>
      </c>
      <c r="L24" s="86"/>
      <c r="M24" s="68">
        <v>1000</v>
      </c>
      <c r="N24" s="85"/>
      <c r="O24" s="85">
        <v>46029</v>
      </c>
      <c r="P24" s="75" t="s">
        <v>30</v>
      </c>
      <c r="Q24" s="76">
        <v>8</v>
      </c>
      <c r="R24" s="76">
        <v>10</v>
      </c>
      <c r="S24" s="75" t="s">
        <v>243</v>
      </c>
      <c r="T24" s="75" t="s">
        <v>381</v>
      </c>
      <c r="U24" s="75" t="s">
        <v>415</v>
      </c>
      <c r="V24" s="75" t="s">
        <v>416</v>
      </c>
      <c r="W24" s="75" t="s">
        <v>519</v>
      </c>
      <c r="X24" s="75" t="s">
        <v>523</v>
      </c>
      <c r="Y24" s="76">
        <v>5</v>
      </c>
      <c r="Z24" s="75" t="s">
        <v>419</v>
      </c>
      <c r="AA24" s="76">
        <v>870</v>
      </c>
      <c r="AB24" s="75" t="s">
        <v>420</v>
      </c>
      <c r="AC24" s="76">
        <v>235</v>
      </c>
      <c r="AD24" s="76">
        <v>5</v>
      </c>
      <c r="AE24" s="75" t="s">
        <v>383</v>
      </c>
      <c r="AF24" s="76">
        <v>1</v>
      </c>
      <c r="AG24" s="75" t="s">
        <v>418</v>
      </c>
      <c r="AH24" s="76">
        <v>1</v>
      </c>
      <c r="AJ24" s="77" t="s">
        <v>524</v>
      </c>
      <c r="AK24" s="87"/>
      <c r="AL24" s="70" t="s">
        <v>366</v>
      </c>
      <c r="AM24" s="70">
        <v>1</v>
      </c>
      <c r="AN24" s="78" t="s">
        <v>347</v>
      </c>
      <c r="AO24" s="78" t="s">
        <v>334</v>
      </c>
      <c r="AP24" s="79">
        <v>5</v>
      </c>
      <c r="AQ24" s="71" t="str">
        <f>_xlfn.CONCAT(C24,"/",D24)</f>
        <v>776/0</v>
      </c>
      <c r="AR24" s="71" t="str">
        <f>IF(D24=0,"DA CONTRATTO","SPOT")</f>
        <v>DA CONTRATTO</v>
      </c>
      <c r="AS24" s="72" t="str">
        <f>IF(AD24=5,"P","C")</f>
        <v>P</v>
      </c>
      <c r="AT24" s="71">
        <f>VLOOKUP(S24,'FILE PALLETTIZZAZIONI DB SRL'!B:H,5,FALSE)</f>
        <v>25</v>
      </c>
      <c r="AU24" s="71" t="str">
        <f>TEXT(N24,"gggg")</f>
        <v>sabato</v>
      </c>
      <c r="AV24" s="71">
        <f>WEEKNUM(N24)</f>
        <v>0</v>
      </c>
      <c r="AW24" s="71" t="str">
        <f>IF(AND(ISBLANK(N24),AS24="P"), "ATTENZIONE: Data produzione non pianificata", IF(AND(ISBLANK(N24),AS24="C"), "ATTENZIONE: Data arrivo merce acquisti non presente", IF(O24-N24&gt;=AP24, "Data sped. utile INSERITA", "ATTENZIONE: GG. resa non adeguati")))</f>
        <v>ATTENZIONE: Data produzione non pianificata</v>
      </c>
      <c r="AX24" s="71" t="str">
        <f ca="1">IF(ISBLANK(O24), "ATTENZIONE: Data non inserita", IF(O24&lt;=param!B2, "ATTENZIONE: Ritardo, Avvertire il cliente", "Data cons. rich. INSERITA"))</f>
        <v>Data cons. rich. INSERITA</v>
      </c>
      <c r="AY24" s="71" t="str">
        <f>IF(OR(ISBLANK(AP24),ISBLANK(AH24)), "ATTENZIONE: Vettore non associato", IF(V24="VETTORE", "Tipo spedizione: VETTORE", IF(V24="DESTINATARIO", "Tipo spedizione: DESTINATARIO", IF(ISBLANK(V24), "ATTENZIONE: Vettore vuoto", "?"))))</f>
        <v>Tipo spedizione: VETTORE</v>
      </c>
      <c r="AZ24" s="71" t="str">
        <f>IF(AM24=1, "Città OK", "ATTENZIONE: CAP non presente")</f>
        <v>Città OK</v>
      </c>
      <c r="BA24" s="73" t="s">
        <v>387</v>
      </c>
      <c r="BB24" s="73" t="str">
        <f ca="1">_xlfn.CONCAT(AW24," - ",AX24," - ",AY24," - ",AZ24," - ","Data: ",BA24)</f>
        <v>ATTENZIONE: Data produzione non pianificata - Data cons. rich. INSERITA - Tipo spedizione: VETTORE - Città OK - Data: ATTENZIONE: Giorno congruo presa vettore</v>
      </c>
    </row>
    <row r="25" spans="1:54" x14ac:dyDescent="0.25">
      <c r="A25" s="75" t="s">
        <v>380</v>
      </c>
      <c r="B25" s="76">
        <v>25</v>
      </c>
      <c r="C25" s="76">
        <v>777</v>
      </c>
      <c r="D25" s="76">
        <v>0</v>
      </c>
      <c r="E25" s="85">
        <v>45958</v>
      </c>
      <c r="F25" s="76">
        <v>343</v>
      </c>
      <c r="G25" s="75" t="s">
        <v>519</v>
      </c>
      <c r="H25" s="75" t="s">
        <v>525</v>
      </c>
      <c r="I25" s="75" t="s">
        <v>526</v>
      </c>
      <c r="J25" s="75" t="s">
        <v>527</v>
      </c>
      <c r="K25" s="68">
        <v>1000</v>
      </c>
      <c r="L25" s="86"/>
      <c r="M25" s="68">
        <v>1000</v>
      </c>
      <c r="N25" s="85"/>
      <c r="O25" s="85">
        <v>46029</v>
      </c>
      <c r="P25" s="75" t="s">
        <v>30</v>
      </c>
      <c r="Q25" s="76">
        <v>8</v>
      </c>
      <c r="R25" s="76">
        <v>10</v>
      </c>
      <c r="S25" s="75" t="s">
        <v>243</v>
      </c>
      <c r="T25" s="75" t="s">
        <v>381</v>
      </c>
      <c r="U25" s="75" t="s">
        <v>415</v>
      </c>
      <c r="V25" s="75" t="s">
        <v>416</v>
      </c>
      <c r="W25" s="75" t="s">
        <v>519</v>
      </c>
      <c r="X25" s="75" t="s">
        <v>523</v>
      </c>
      <c r="Y25" s="76">
        <v>5</v>
      </c>
      <c r="Z25" s="75" t="s">
        <v>419</v>
      </c>
      <c r="AA25" s="76">
        <v>870</v>
      </c>
      <c r="AB25" s="75" t="s">
        <v>420</v>
      </c>
      <c r="AC25" s="76">
        <v>235</v>
      </c>
      <c r="AD25" s="76">
        <v>5</v>
      </c>
      <c r="AE25" s="75" t="s">
        <v>383</v>
      </c>
      <c r="AF25" s="76">
        <v>1</v>
      </c>
      <c r="AG25" s="75" t="s">
        <v>418</v>
      </c>
      <c r="AH25" s="76">
        <v>1</v>
      </c>
      <c r="AJ25" s="77" t="s">
        <v>524</v>
      </c>
      <c r="AK25" s="87"/>
      <c r="AL25" s="70" t="s">
        <v>366</v>
      </c>
      <c r="AM25" s="70">
        <v>1</v>
      </c>
      <c r="AN25" s="78" t="s">
        <v>347</v>
      </c>
      <c r="AO25" s="78" t="s">
        <v>334</v>
      </c>
      <c r="AP25" s="79">
        <v>5</v>
      </c>
      <c r="AQ25" s="71" t="str">
        <f>_xlfn.CONCAT(C25,"/",D25)</f>
        <v>777/0</v>
      </c>
      <c r="AR25" s="71" t="str">
        <f>IF(D25=0,"DA CONTRATTO","SPOT")</f>
        <v>DA CONTRATTO</v>
      </c>
      <c r="AS25" s="72" t="str">
        <f>IF(AD25=5,"P","C")</f>
        <v>P</v>
      </c>
      <c r="AT25" s="71">
        <f>VLOOKUP(S25,'FILE PALLETTIZZAZIONI DB SRL'!B:H,5,FALSE)</f>
        <v>25</v>
      </c>
      <c r="AU25" s="71" t="str">
        <f>TEXT(N25,"gggg")</f>
        <v>sabato</v>
      </c>
      <c r="AV25" s="71">
        <f>WEEKNUM(N25)</f>
        <v>0</v>
      </c>
      <c r="AW25" s="71" t="str">
        <f>IF(AND(ISBLANK(N25),AS25="P"), "ATTENZIONE: Data produzione non pianificata", IF(AND(ISBLANK(N25),AS25="C"), "ATTENZIONE: Data arrivo merce acquisti non presente", IF(O25-N25&gt;=AP25, "Data sped. utile INSERITA", "ATTENZIONE: GG. resa non adeguati")))</f>
        <v>ATTENZIONE: Data produzione non pianificata</v>
      </c>
      <c r="AX25" s="71" t="str">
        <f ca="1">IF(ISBLANK(O25), "ATTENZIONE: Data non inserita", IF(O25&lt;=param!B2, "ATTENZIONE: Ritardo, Avvertire il cliente", "Data cons. rich. INSERITA"))</f>
        <v>Data cons. rich. INSERITA</v>
      </c>
      <c r="AY25" s="71" t="str">
        <f>IF(OR(ISBLANK(AP25),ISBLANK(AH25)), "ATTENZIONE: Vettore non associato", IF(V25="VETTORE", "Tipo spedizione: VETTORE", IF(V25="DESTINATARIO", "Tipo spedizione: DESTINATARIO", IF(ISBLANK(V25), "ATTENZIONE: Vettore vuoto", "?"))))</f>
        <v>Tipo spedizione: VETTORE</v>
      </c>
      <c r="AZ25" s="71" t="str">
        <f>IF(AM25=1, "Città OK", "ATTENZIONE: CAP non presente")</f>
        <v>Città OK</v>
      </c>
      <c r="BA25" s="73" t="s">
        <v>387</v>
      </c>
      <c r="BB25" s="73" t="str">
        <f ca="1">_xlfn.CONCAT(AW25," - ",AX25," - ",AY25," - ",AZ25," - ","Data: ",BA25)</f>
        <v>ATTENZIONE: Data produzione non pianificata - Data cons. rich. INSERITA - Tipo spedizione: VETTORE - Città OK - Data: ATTENZIONE: Giorno congruo presa vettore</v>
      </c>
    </row>
    <row r="26" spans="1:54" x14ac:dyDescent="0.25">
      <c r="A26" s="75" t="s">
        <v>380</v>
      </c>
      <c r="B26" s="76">
        <v>27</v>
      </c>
      <c r="C26" s="76">
        <v>778</v>
      </c>
      <c r="D26" s="76">
        <v>0</v>
      </c>
      <c r="E26" s="85">
        <v>45958</v>
      </c>
      <c r="F26" s="76">
        <v>343</v>
      </c>
      <c r="G26" s="75" t="s">
        <v>519</v>
      </c>
      <c r="H26" s="75" t="s">
        <v>528</v>
      </c>
      <c r="I26" s="75" t="s">
        <v>529</v>
      </c>
      <c r="J26" s="75" t="s">
        <v>530</v>
      </c>
      <c r="K26" s="68">
        <v>640</v>
      </c>
      <c r="L26" s="86"/>
      <c r="M26" s="68">
        <v>640</v>
      </c>
      <c r="N26" s="85"/>
      <c r="O26" s="85">
        <v>46029</v>
      </c>
      <c r="P26" s="75" t="s">
        <v>30</v>
      </c>
      <c r="Q26" s="76">
        <v>8</v>
      </c>
      <c r="R26" s="76">
        <v>10</v>
      </c>
      <c r="S26" s="75" t="s">
        <v>39</v>
      </c>
      <c r="T26" s="75" t="s">
        <v>381</v>
      </c>
      <c r="U26" s="75" t="s">
        <v>415</v>
      </c>
      <c r="V26" s="75" t="s">
        <v>416</v>
      </c>
      <c r="W26" s="75" t="s">
        <v>519</v>
      </c>
      <c r="X26" s="75" t="s">
        <v>523</v>
      </c>
      <c r="Y26" s="76">
        <v>5</v>
      </c>
      <c r="Z26" s="75" t="s">
        <v>425</v>
      </c>
      <c r="AA26" s="76">
        <v>208</v>
      </c>
      <c r="AB26" s="75" t="s">
        <v>426</v>
      </c>
      <c r="AC26" s="76">
        <v>120</v>
      </c>
      <c r="AD26" s="76">
        <v>5</v>
      </c>
      <c r="AE26" s="75" t="s">
        <v>383</v>
      </c>
      <c r="AF26" s="76">
        <v>1</v>
      </c>
      <c r="AG26" s="75" t="s">
        <v>418</v>
      </c>
      <c r="AH26" s="76">
        <v>1</v>
      </c>
      <c r="AJ26" s="77" t="s">
        <v>524</v>
      </c>
      <c r="AK26" s="87"/>
      <c r="AL26" s="70" t="s">
        <v>366</v>
      </c>
      <c r="AM26" s="70">
        <v>1</v>
      </c>
      <c r="AN26" s="78" t="s">
        <v>347</v>
      </c>
      <c r="AO26" s="78" t="s">
        <v>334</v>
      </c>
      <c r="AP26" s="79">
        <v>5</v>
      </c>
      <c r="AQ26" s="71" t="str">
        <f>_xlfn.CONCAT(C26,"/",D26)</f>
        <v>778/0</v>
      </c>
      <c r="AR26" s="71" t="str">
        <f>IF(D26=0,"DA CONTRATTO","SPOT")</f>
        <v>DA CONTRATTO</v>
      </c>
      <c r="AS26" s="72" t="str">
        <f>IF(AD26=5,"P","C")</f>
        <v>P</v>
      </c>
      <c r="AT26" s="71">
        <f>VLOOKUP(S26,'FILE PALLETTIZZAZIONI DB SRL'!B:H,5,FALSE)</f>
        <v>32</v>
      </c>
      <c r="AU26" s="71" t="str">
        <f>TEXT(N26,"gggg")</f>
        <v>sabato</v>
      </c>
      <c r="AV26" s="71">
        <f>WEEKNUM(N26)</f>
        <v>0</v>
      </c>
      <c r="AW26" s="71" t="str">
        <f>IF(AND(ISBLANK(N26),AS26="P"), "ATTENZIONE: Data produzione non pianificata", IF(AND(ISBLANK(N26),AS26="C"), "ATTENZIONE: Data arrivo merce acquisti non presente", IF(O26-N26&gt;=AP26, "Data sped. utile INSERITA", "ATTENZIONE: GG. resa non adeguati")))</f>
        <v>ATTENZIONE: Data produzione non pianificata</v>
      </c>
      <c r="AX26" s="71" t="str">
        <f ca="1">IF(ISBLANK(O26), "ATTENZIONE: Data non inserita", IF(O26&lt;=param!B2, "ATTENZIONE: Ritardo, Avvertire il cliente", "Data cons. rich. INSERITA"))</f>
        <v>Data cons. rich. INSERITA</v>
      </c>
      <c r="AY26" s="71" t="str">
        <f>IF(OR(ISBLANK(AP26),ISBLANK(AH26)), "ATTENZIONE: Vettore non associato", IF(V26="VETTORE", "Tipo spedizione: VETTORE", IF(V26="DESTINATARIO", "Tipo spedizione: DESTINATARIO", IF(ISBLANK(V26), "ATTENZIONE: Vettore vuoto", "?"))))</f>
        <v>Tipo spedizione: VETTORE</v>
      </c>
      <c r="AZ26" s="71" t="str">
        <f>IF(AM26=1, "Città OK", "ATTENZIONE: CAP non presente")</f>
        <v>Città OK</v>
      </c>
      <c r="BA26" s="73" t="s">
        <v>387</v>
      </c>
      <c r="BB26" s="73" t="str">
        <f ca="1">_xlfn.CONCAT(AW26," - ",AX26," - ",AY26," - ",AZ26," - ","Data: ",BA26)</f>
        <v>ATTENZIONE: Data produzione non pianificata - Data cons. rich. INSERITA - Tipo spedizione: VETTORE - Città OK - Data: ATTENZIONE: Giorno congruo presa vettore</v>
      </c>
    </row>
    <row r="27" spans="1:54" x14ac:dyDescent="0.25">
      <c r="A27" s="75" t="s">
        <v>380</v>
      </c>
      <c r="B27" s="76">
        <v>29</v>
      </c>
      <c r="C27" s="76">
        <v>791</v>
      </c>
      <c r="D27" s="76">
        <v>0</v>
      </c>
      <c r="E27" s="85">
        <v>45967</v>
      </c>
      <c r="F27" s="76">
        <v>343</v>
      </c>
      <c r="G27" s="75" t="s">
        <v>519</v>
      </c>
      <c r="H27" s="75" t="s">
        <v>630</v>
      </c>
      <c r="I27" s="75" t="s">
        <v>631</v>
      </c>
      <c r="J27" s="75" t="s">
        <v>632</v>
      </c>
      <c r="K27" s="68">
        <v>500</v>
      </c>
      <c r="L27" s="86"/>
      <c r="M27" s="68">
        <v>500</v>
      </c>
      <c r="N27" s="85"/>
      <c r="O27" s="85">
        <v>46029</v>
      </c>
      <c r="P27" s="75" t="s">
        <v>30</v>
      </c>
      <c r="Q27" s="76">
        <v>8</v>
      </c>
      <c r="R27" s="76">
        <v>10</v>
      </c>
      <c r="S27" s="75" t="s">
        <v>243</v>
      </c>
      <c r="T27" s="75" t="s">
        <v>381</v>
      </c>
      <c r="U27" s="75" t="s">
        <v>415</v>
      </c>
      <c r="V27" s="75" t="s">
        <v>416</v>
      </c>
      <c r="W27" s="75" t="s">
        <v>519</v>
      </c>
      <c r="X27" s="75" t="s">
        <v>523</v>
      </c>
      <c r="Y27" s="76">
        <v>5</v>
      </c>
      <c r="Z27" s="75" t="s">
        <v>419</v>
      </c>
      <c r="AA27" s="76">
        <v>873</v>
      </c>
      <c r="AB27" s="75" t="s">
        <v>633</v>
      </c>
      <c r="AC27" s="76">
        <v>235</v>
      </c>
      <c r="AD27" s="76">
        <v>5</v>
      </c>
      <c r="AE27" s="75" t="s">
        <v>383</v>
      </c>
      <c r="AF27" s="76">
        <v>4</v>
      </c>
      <c r="AG27" s="75" t="s">
        <v>428</v>
      </c>
      <c r="AH27" s="76">
        <v>1</v>
      </c>
      <c r="AJ27" s="77" t="s">
        <v>524</v>
      </c>
      <c r="AK27" s="87"/>
      <c r="AL27" s="70" t="s">
        <v>366</v>
      </c>
      <c r="AM27" s="70">
        <v>1</v>
      </c>
      <c r="AN27" s="78" t="s">
        <v>347</v>
      </c>
      <c r="AO27" s="78" t="s">
        <v>334</v>
      </c>
      <c r="AP27" s="79">
        <v>5</v>
      </c>
      <c r="AQ27" s="71" t="str">
        <f>_xlfn.CONCAT(C27,"/",D27)</f>
        <v>791/0</v>
      </c>
      <c r="AR27" s="71" t="str">
        <f>IF(D27=0,"DA CONTRATTO","SPOT")</f>
        <v>DA CONTRATTO</v>
      </c>
      <c r="AS27" s="72" t="str">
        <f>IF(AD27=5,"P","C")</f>
        <v>P</v>
      </c>
      <c r="AT27" s="71">
        <f>VLOOKUP(S27,'FILE PALLETTIZZAZIONI DB SRL'!B:H,5,FALSE)</f>
        <v>25</v>
      </c>
      <c r="AU27" s="71" t="str">
        <f>TEXT(N27,"gggg")</f>
        <v>sabato</v>
      </c>
      <c r="AV27" s="71">
        <f>WEEKNUM(N27)</f>
        <v>0</v>
      </c>
      <c r="AW27" s="71" t="str">
        <f>IF(AND(ISBLANK(N27),AS27="P"), "ATTENZIONE: Data produzione non pianificata", IF(AND(ISBLANK(N27),AS27="C"), "ATTENZIONE: Data arrivo merce acquisti non presente", IF(O27-N27&gt;=AP27, "Data sped. utile INSERITA", "ATTENZIONE: GG. resa non adeguati")))</f>
        <v>ATTENZIONE: Data produzione non pianificata</v>
      </c>
      <c r="AX27" s="71" t="str">
        <f ca="1">IF(ISBLANK(O27), "ATTENZIONE: Data non inserita", IF(O27&lt;=param!B2, "ATTENZIONE: Ritardo, Avvertire il cliente", "Data cons. rich. INSERITA"))</f>
        <v>Data cons. rich. INSERITA</v>
      </c>
      <c r="AY27" s="71" t="str">
        <f>IF(OR(ISBLANK(AP27),ISBLANK(AH27)), "ATTENZIONE: Vettore non associato", IF(V27="VETTORE", "Tipo spedizione: VETTORE", IF(V27="DESTINATARIO", "Tipo spedizione: DESTINATARIO", IF(ISBLANK(V27), "ATTENZIONE: Vettore vuoto", "?"))))</f>
        <v>Tipo spedizione: VETTORE</v>
      </c>
      <c r="AZ27" s="71" t="str">
        <f>IF(AM27=1, "Città OK", "ATTENZIONE: CAP non presente")</f>
        <v>Città OK</v>
      </c>
      <c r="BA27" s="73" t="s">
        <v>387</v>
      </c>
      <c r="BB27" s="73" t="str">
        <f ca="1">_xlfn.CONCAT(AW27," - ",AX27," - ",AY27," - ",AZ27," - ","Data: ",BA27)</f>
        <v>ATTENZIONE: Data produzione non pianificata - Data cons. rich. INSERITA - Tipo spedizione: VETTORE - Città OK - Data: ATTENZIONE: Giorno congruo presa vettore</v>
      </c>
    </row>
    <row r="28" spans="1:54" x14ac:dyDescent="0.25">
      <c r="A28" s="75" t="s">
        <v>380</v>
      </c>
      <c r="B28" s="76">
        <v>31</v>
      </c>
      <c r="C28" s="76">
        <v>792</v>
      </c>
      <c r="D28" s="76">
        <v>0</v>
      </c>
      <c r="E28" s="85">
        <v>45967</v>
      </c>
      <c r="F28" s="76">
        <v>343</v>
      </c>
      <c r="G28" s="75" t="s">
        <v>519</v>
      </c>
      <c r="H28" s="75" t="s">
        <v>634</v>
      </c>
      <c r="I28" s="75" t="s">
        <v>635</v>
      </c>
      <c r="J28" s="75" t="s">
        <v>636</v>
      </c>
      <c r="K28" s="68">
        <v>1000</v>
      </c>
      <c r="L28" s="86"/>
      <c r="M28" s="68">
        <v>1000</v>
      </c>
      <c r="N28" s="85"/>
      <c r="O28" s="85">
        <v>46029</v>
      </c>
      <c r="P28" s="75" t="s">
        <v>30</v>
      </c>
      <c r="Q28" s="76"/>
      <c r="R28" s="76"/>
      <c r="S28" s="75" t="s">
        <v>243</v>
      </c>
      <c r="T28" s="75" t="s">
        <v>381</v>
      </c>
      <c r="U28" s="75" t="s">
        <v>415</v>
      </c>
      <c r="V28" s="75" t="s">
        <v>416</v>
      </c>
      <c r="W28" s="75" t="s">
        <v>519</v>
      </c>
      <c r="X28" s="75" t="s">
        <v>523</v>
      </c>
      <c r="Y28" s="76">
        <v>5</v>
      </c>
      <c r="Z28" s="75" t="s">
        <v>461</v>
      </c>
      <c r="AA28" s="76">
        <v>870</v>
      </c>
      <c r="AB28" s="75" t="s">
        <v>420</v>
      </c>
      <c r="AC28" s="76">
        <v>4</v>
      </c>
      <c r="AD28" s="76">
        <v>5</v>
      </c>
      <c r="AE28" s="75" t="s">
        <v>383</v>
      </c>
      <c r="AF28" s="76">
        <v>4</v>
      </c>
      <c r="AG28" s="75" t="s">
        <v>428</v>
      </c>
      <c r="AH28" s="76">
        <v>1</v>
      </c>
      <c r="AJ28" s="77" t="s">
        <v>524</v>
      </c>
      <c r="AK28" s="87"/>
      <c r="AL28" s="70" t="s">
        <v>366</v>
      </c>
      <c r="AM28" s="70">
        <v>1</v>
      </c>
      <c r="AN28" s="78" t="s">
        <v>347</v>
      </c>
      <c r="AO28" s="78" t="s">
        <v>334</v>
      </c>
      <c r="AP28" s="79">
        <v>5</v>
      </c>
      <c r="AQ28" s="71" t="str">
        <f>_xlfn.CONCAT(C28,"/",D28)</f>
        <v>792/0</v>
      </c>
      <c r="AR28" s="71" t="str">
        <f>IF(D28=0,"DA CONTRATTO","SPOT")</f>
        <v>DA CONTRATTO</v>
      </c>
      <c r="AS28" s="72" t="str">
        <f>IF(AD28=5,"P","C")</f>
        <v>P</v>
      </c>
      <c r="AT28" s="71">
        <f>VLOOKUP(S28,'FILE PALLETTIZZAZIONI DB SRL'!B:H,5,FALSE)</f>
        <v>25</v>
      </c>
      <c r="AU28" s="71" t="str">
        <f>TEXT(N28,"gggg")</f>
        <v>sabato</v>
      </c>
      <c r="AV28" s="71">
        <f>WEEKNUM(N28)</f>
        <v>0</v>
      </c>
      <c r="AW28" s="71" t="str">
        <f>IF(AND(ISBLANK(N28),AS28="P"), "ATTENZIONE: Data produzione non pianificata", IF(AND(ISBLANK(N28),AS28="C"), "ATTENZIONE: Data arrivo merce acquisti non presente", IF(O28-N28&gt;=AP28, "Data sped. utile INSERITA", "ATTENZIONE: GG. resa non adeguati")))</f>
        <v>ATTENZIONE: Data produzione non pianificata</v>
      </c>
      <c r="AX28" s="71" t="str">
        <f ca="1">IF(ISBLANK(O28), "ATTENZIONE: Data non inserita", IF(O28&lt;=param!B2, "ATTENZIONE: Ritardo, Avvertire il cliente", "Data cons. rich. INSERITA"))</f>
        <v>Data cons. rich. INSERITA</v>
      </c>
      <c r="AY28" s="71" t="str">
        <f>IF(OR(ISBLANK(AP28),ISBLANK(AH28)), "ATTENZIONE: Vettore non associato", IF(V28="VETTORE", "Tipo spedizione: VETTORE", IF(V28="DESTINATARIO", "Tipo spedizione: DESTINATARIO", IF(ISBLANK(V28), "ATTENZIONE: Vettore vuoto", "?"))))</f>
        <v>Tipo spedizione: VETTORE</v>
      </c>
      <c r="AZ28" s="71" t="str">
        <f>IF(AM28=1, "Città OK", "ATTENZIONE: CAP non presente")</f>
        <v>Città OK</v>
      </c>
      <c r="BA28" s="73" t="s">
        <v>387</v>
      </c>
      <c r="BB28" s="73" t="str">
        <f ca="1">_xlfn.CONCAT(AW28," - ",AX28," - ",AY28," - ",AZ28," - ","Data: ",BA28)</f>
        <v>ATTENZIONE: Data produzione non pianificata - Data cons. rich. INSERITA - Tipo spedizione: VETTORE - Città OK - Data: ATTENZIONE: Giorno congruo presa vettore</v>
      </c>
    </row>
    <row r="29" spans="1:54" x14ac:dyDescent="0.25">
      <c r="A29" s="75" t="s">
        <v>380</v>
      </c>
      <c r="B29" s="76">
        <v>37</v>
      </c>
      <c r="C29" s="76">
        <v>731</v>
      </c>
      <c r="D29" s="76">
        <v>0</v>
      </c>
      <c r="E29" s="85">
        <v>45925</v>
      </c>
      <c r="F29" s="76">
        <v>363</v>
      </c>
      <c r="G29" s="75" t="s">
        <v>341</v>
      </c>
      <c r="H29" s="75" t="s">
        <v>457</v>
      </c>
      <c r="I29" s="75" t="s">
        <v>458</v>
      </c>
      <c r="J29" s="75" t="s">
        <v>459</v>
      </c>
      <c r="K29" s="68">
        <v>10000</v>
      </c>
      <c r="L29" s="86"/>
      <c r="M29" s="68">
        <v>10000</v>
      </c>
      <c r="N29" s="85"/>
      <c r="O29" s="85">
        <v>46001</v>
      </c>
      <c r="P29" s="75" t="s">
        <v>30</v>
      </c>
      <c r="Q29" s="76">
        <v>8</v>
      </c>
      <c r="R29" s="76">
        <v>10</v>
      </c>
      <c r="S29" s="75" t="s">
        <v>362</v>
      </c>
      <c r="T29" s="75" t="s">
        <v>381</v>
      </c>
      <c r="U29" s="75" t="s">
        <v>415</v>
      </c>
      <c r="V29" s="75" t="s">
        <v>416</v>
      </c>
      <c r="W29" s="75" t="s">
        <v>424</v>
      </c>
      <c r="X29" s="75" t="s">
        <v>460</v>
      </c>
      <c r="Y29" s="76">
        <v>5</v>
      </c>
      <c r="Z29" s="75" t="s">
        <v>461</v>
      </c>
      <c r="AA29" s="76">
        <v>550</v>
      </c>
      <c r="AB29" s="75" t="s">
        <v>462</v>
      </c>
      <c r="AC29" s="76">
        <v>4</v>
      </c>
      <c r="AD29" s="76">
        <v>5</v>
      </c>
      <c r="AE29" s="75" t="s">
        <v>383</v>
      </c>
      <c r="AF29" s="76">
        <v>1</v>
      </c>
      <c r="AG29" s="75" t="s">
        <v>418</v>
      </c>
      <c r="AH29" s="76">
        <v>1</v>
      </c>
      <c r="AJ29" s="77" t="s">
        <v>463</v>
      </c>
      <c r="AK29" s="87"/>
      <c r="AL29" s="70" t="s">
        <v>366</v>
      </c>
      <c r="AM29" s="70">
        <v>1</v>
      </c>
      <c r="AN29" s="78" t="s">
        <v>347</v>
      </c>
      <c r="AO29" s="78" t="s">
        <v>334</v>
      </c>
      <c r="AP29" s="79">
        <v>5</v>
      </c>
      <c r="AQ29" s="71" t="str">
        <f>_xlfn.CONCAT(C29,"/",D29)</f>
        <v>731/0</v>
      </c>
      <c r="AR29" s="71" t="str">
        <f>IF(D29=0,"DA CONTRATTO","SPOT")</f>
        <v>DA CONTRATTO</v>
      </c>
      <c r="AS29" s="72" t="str">
        <f>IF(AD29=5,"P","C")</f>
        <v>P</v>
      </c>
      <c r="AT29" s="71">
        <f>VLOOKUP(S29,'FILE PALLETTIZZAZIONI DB SRL'!B:H,5,FALSE)</f>
        <v>1</v>
      </c>
      <c r="AU29" s="71" t="str">
        <f>TEXT(N29,"gggg")</f>
        <v>sabato</v>
      </c>
      <c r="AV29" s="71">
        <f>WEEKNUM(N29)</f>
        <v>0</v>
      </c>
      <c r="AW29" s="71" t="str">
        <f>IF(AND(ISBLANK(N29),AS29="P"), "ATTENZIONE: Data produzione non pianificata", IF(AND(ISBLANK(N29),AS29="C"), "ATTENZIONE: Data arrivo merce acquisti non presente", IF(O29-N29&gt;=AP29, "Data sped. utile INSERITA", "ATTENZIONE: GG. resa non adeguati")))</f>
        <v>ATTENZIONE: Data produzione non pianificata</v>
      </c>
      <c r="AX29" s="71" t="str">
        <f ca="1">IF(ISBLANK(O29), "ATTENZIONE: Data non inserita", IF(O29&lt;=param!B2, "ATTENZIONE: Ritardo, Avvertire il cliente", "Data cons. rich. INSERITA"))</f>
        <v>Data cons. rich. INSERITA</v>
      </c>
      <c r="AY29" s="71" t="str">
        <f>IF(OR(ISBLANK(AP29),ISBLANK(AH29)), "ATTENZIONE: Vettore non associato", IF(V29="VETTORE", "Tipo spedizione: VETTORE", IF(V29="DESTINATARIO", "Tipo spedizione: DESTINATARIO", IF(ISBLANK(V29), "ATTENZIONE: Vettore vuoto", "?"))))</f>
        <v>Tipo spedizione: VETTORE</v>
      </c>
      <c r="AZ29" s="71" t="str">
        <f>IF(AM29=1, "Città OK", "ATTENZIONE: CAP non presente")</f>
        <v>Città OK</v>
      </c>
      <c r="BA29" s="73" t="s">
        <v>387</v>
      </c>
      <c r="BB29" s="73" t="str">
        <f ca="1">_xlfn.CONCAT(AW29," - ",AX29," - ",AY29," - ",AZ29," - ","Data: ",BA29)</f>
        <v>ATTENZIONE: Data produzione non pianificata - Data cons. rich. INSERITA - Tipo spedizione: VETTORE - Città OK - Data: ATTENZIONE: Giorno congruo presa vettore</v>
      </c>
    </row>
    <row r="30" spans="1:54" x14ac:dyDescent="0.25">
      <c r="A30" s="75" t="s">
        <v>380</v>
      </c>
      <c r="B30" s="76">
        <v>38</v>
      </c>
      <c r="C30" s="76">
        <v>732</v>
      </c>
      <c r="D30" s="76">
        <v>0</v>
      </c>
      <c r="E30" s="85">
        <v>45925</v>
      </c>
      <c r="F30" s="76">
        <v>363</v>
      </c>
      <c r="G30" s="75" t="s">
        <v>341</v>
      </c>
      <c r="H30" s="75" t="s">
        <v>457</v>
      </c>
      <c r="I30" s="75" t="s">
        <v>458</v>
      </c>
      <c r="J30" s="75" t="s">
        <v>459</v>
      </c>
      <c r="K30" s="68">
        <v>20000</v>
      </c>
      <c r="L30" s="86"/>
      <c r="M30" s="68">
        <v>20000</v>
      </c>
      <c r="N30" s="85"/>
      <c r="O30" s="85">
        <v>46009</v>
      </c>
      <c r="P30" s="75" t="s">
        <v>30</v>
      </c>
      <c r="Q30" s="76">
        <v>8</v>
      </c>
      <c r="R30" s="76">
        <v>10</v>
      </c>
      <c r="S30" s="75" t="s">
        <v>362</v>
      </c>
      <c r="T30" s="75" t="s">
        <v>381</v>
      </c>
      <c r="U30" s="75" t="s">
        <v>415</v>
      </c>
      <c r="V30" s="75" t="s">
        <v>416</v>
      </c>
      <c r="W30" s="75" t="s">
        <v>424</v>
      </c>
      <c r="X30" s="75" t="s">
        <v>460</v>
      </c>
      <c r="Y30" s="76">
        <v>5</v>
      </c>
      <c r="Z30" s="75" t="s">
        <v>461</v>
      </c>
      <c r="AA30" s="76">
        <v>550</v>
      </c>
      <c r="AB30" s="75" t="s">
        <v>462</v>
      </c>
      <c r="AC30" s="76">
        <v>4</v>
      </c>
      <c r="AD30" s="76">
        <v>5</v>
      </c>
      <c r="AE30" s="75" t="s">
        <v>383</v>
      </c>
      <c r="AF30" s="76">
        <v>1</v>
      </c>
      <c r="AG30" s="75" t="s">
        <v>418</v>
      </c>
      <c r="AH30" s="76">
        <v>1</v>
      </c>
      <c r="AJ30" s="77" t="s">
        <v>463</v>
      </c>
      <c r="AK30" s="87"/>
      <c r="AL30" s="70" t="s">
        <v>366</v>
      </c>
      <c r="AM30" s="70">
        <v>1</v>
      </c>
      <c r="AN30" s="78" t="s">
        <v>347</v>
      </c>
      <c r="AO30" s="78" t="s">
        <v>334</v>
      </c>
      <c r="AP30" s="79">
        <v>5</v>
      </c>
      <c r="AQ30" s="71" t="str">
        <f>_xlfn.CONCAT(C30,"/",D30)</f>
        <v>732/0</v>
      </c>
      <c r="AR30" s="71" t="str">
        <f>IF(D30=0,"DA CONTRATTO","SPOT")</f>
        <v>DA CONTRATTO</v>
      </c>
      <c r="AS30" s="72" t="str">
        <f>IF(AD30=5,"P","C")</f>
        <v>P</v>
      </c>
      <c r="AT30" s="71">
        <f>VLOOKUP(S30,'FILE PALLETTIZZAZIONI DB SRL'!B:H,5,FALSE)</f>
        <v>1</v>
      </c>
      <c r="AU30" s="71" t="str">
        <f>TEXT(N30,"gggg")</f>
        <v>sabato</v>
      </c>
      <c r="AV30" s="71">
        <f>WEEKNUM(N30)</f>
        <v>0</v>
      </c>
      <c r="AW30" s="71" t="str">
        <f>IF(AND(ISBLANK(N30),AS30="P"), "ATTENZIONE: Data produzione non pianificata", IF(AND(ISBLANK(N30),AS30="C"), "ATTENZIONE: Data arrivo merce acquisti non presente", IF(O30-N30&gt;=AP30, "Data sped. utile INSERITA", "ATTENZIONE: GG. resa non adeguati")))</f>
        <v>ATTENZIONE: Data produzione non pianificata</v>
      </c>
      <c r="AX30" s="71" t="str">
        <f ca="1">IF(ISBLANK(O30), "ATTENZIONE: Data non inserita", IF(O30&lt;=param!B2, "ATTENZIONE: Ritardo, Avvertire il cliente", "Data cons. rich. INSERITA"))</f>
        <v>Data cons. rich. INSERITA</v>
      </c>
      <c r="AY30" s="71" t="str">
        <f>IF(OR(ISBLANK(AP30),ISBLANK(AH30)), "ATTENZIONE: Vettore non associato", IF(V30="VETTORE", "Tipo spedizione: VETTORE", IF(V30="DESTINATARIO", "Tipo spedizione: DESTINATARIO", IF(ISBLANK(V30), "ATTENZIONE: Vettore vuoto", "?"))))</f>
        <v>Tipo spedizione: VETTORE</v>
      </c>
      <c r="AZ30" s="71" t="str">
        <f>IF(AM30=1, "Città OK", "ATTENZIONE: CAP non presente")</f>
        <v>Città OK</v>
      </c>
      <c r="BA30" s="73" t="s">
        <v>387</v>
      </c>
      <c r="BB30" s="73" t="str">
        <f ca="1">_xlfn.CONCAT(AW30," - ",AX30," - ",AY30," - ",AZ30," - ","Data: ",BA30)</f>
        <v>ATTENZIONE: Data produzione non pianificata - Data cons. rich. INSERITA - Tipo spedizione: VETTORE - Città OK - Data: ATTENZIONE: Giorno congruo presa vettore</v>
      </c>
    </row>
    <row r="31" spans="1:54" x14ac:dyDescent="0.25">
      <c r="A31" s="75" t="s">
        <v>380</v>
      </c>
      <c r="B31" s="76">
        <v>39</v>
      </c>
      <c r="C31" s="76">
        <v>784</v>
      </c>
      <c r="D31" s="76">
        <v>0</v>
      </c>
      <c r="E31" s="85">
        <v>45965</v>
      </c>
      <c r="F31" s="76">
        <v>363</v>
      </c>
      <c r="G31" s="75" t="s">
        <v>341</v>
      </c>
      <c r="H31" s="75" t="s">
        <v>593</v>
      </c>
      <c r="I31" s="75" t="s">
        <v>594</v>
      </c>
      <c r="J31" s="75" t="s">
        <v>595</v>
      </c>
      <c r="K31" s="68">
        <v>3200</v>
      </c>
      <c r="L31" s="86"/>
      <c r="M31" s="68">
        <v>3200</v>
      </c>
      <c r="N31" s="85"/>
      <c r="O31" s="85">
        <v>46008</v>
      </c>
      <c r="P31" s="75" t="s">
        <v>30</v>
      </c>
      <c r="Q31" s="76"/>
      <c r="R31" s="76"/>
      <c r="S31" s="75" t="s">
        <v>39</v>
      </c>
      <c r="T31" s="75" t="s">
        <v>381</v>
      </c>
      <c r="U31" s="75" t="s">
        <v>415</v>
      </c>
      <c r="V31" s="75" t="s">
        <v>416</v>
      </c>
      <c r="W31" s="75" t="s">
        <v>424</v>
      </c>
      <c r="X31" s="75" t="s">
        <v>460</v>
      </c>
      <c r="Y31" s="76">
        <v>5</v>
      </c>
      <c r="Z31" s="75" t="s">
        <v>425</v>
      </c>
      <c r="AA31" s="76">
        <v>199</v>
      </c>
      <c r="AB31" s="75" t="s">
        <v>472</v>
      </c>
      <c r="AC31" s="76">
        <v>120</v>
      </c>
      <c r="AD31" s="76">
        <v>5</v>
      </c>
      <c r="AE31" s="75" t="s">
        <v>383</v>
      </c>
      <c r="AF31" s="76">
        <v>1</v>
      </c>
      <c r="AG31" s="75" t="s">
        <v>418</v>
      </c>
      <c r="AH31" s="76">
        <v>1</v>
      </c>
      <c r="AJ31" s="77" t="s">
        <v>596</v>
      </c>
      <c r="AK31" s="87"/>
      <c r="AL31" s="70" t="s">
        <v>366</v>
      </c>
      <c r="AM31" s="70">
        <v>1</v>
      </c>
      <c r="AN31" s="78" t="s">
        <v>347</v>
      </c>
      <c r="AO31" s="78" t="s">
        <v>334</v>
      </c>
      <c r="AP31" s="79">
        <v>5</v>
      </c>
      <c r="AQ31" s="71" t="str">
        <f>_xlfn.CONCAT(C31,"/",D31)</f>
        <v>784/0</v>
      </c>
      <c r="AR31" s="71" t="str">
        <f>IF(D31=0,"DA CONTRATTO","SPOT")</f>
        <v>DA CONTRATTO</v>
      </c>
      <c r="AS31" s="72" t="str">
        <f>IF(AD31=5,"P","C")</f>
        <v>P</v>
      </c>
      <c r="AT31" s="71">
        <f>VLOOKUP(S31,'FILE PALLETTIZZAZIONI DB SRL'!B:H,5,FALSE)</f>
        <v>32</v>
      </c>
      <c r="AU31" s="71" t="str">
        <f>TEXT(N31,"gggg")</f>
        <v>sabato</v>
      </c>
      <c r="AV31" s="71">
        <f>WEEKNUM(N31)</f>
        <v>0</v>
      </c>
      <c r="AW31" s="71" t="str">
        <f>IF(AND(ISBLANK(N31),AS31="P"), "ATTENZIONE: Data produzione non pianificata", IF(AND(ISBLANK(N31),AS31="C"), "ATTENZIONE: Data arrivo merce acquisti non presente", IF(O31-N31&gt;=AP31, "Data sped. utile INSERITA", "ATTENZIONE: GG. resa non adeguati")))</f>
        <v>ATTENZIONE: Data produzione non pianificata</v>
      </c>
      <c r="AX31" s="71" t="str">
        <f ca="1">IF(ISBLANK(O31), "ATTENZIONE: Data non inserita", IF(O31&lt;=param!B2, "ATTENZIONE: Ritardo, Avvertire il cliente", "Data cons. rich. INSERITA"))</f>
        <v>Data cons. rich. INSERITA</v>
      </c>
      <c r="AY31" s="71" t="str">
        <f>IF(OR(ISBLANK(AP31),ISBLANK(AH31)), "ATTENZIONE: Vettore non associato", IF(V31="VETTORE", "Tipo spedizione: VETTORE", IF(V31="DESTINATARIO", "Tipo spedizione: DESTINATARIO", IF(ISBLANK(V31), "ATTENZIONE: Vettore vuoto", "?"))))</f>
        <v>Tipo spedizione: VETTORE</v>
      </c>
      <c r="AZ31" s="71" t="str">
        <f>IF(AM31=1, "Città OK", "ATTENZIONE: CAP non presente")</f>
        <v>Città OK</v>
      </c>
      <c r="BA31" s="73" t="s">
        <v>387</v>
      </c>
      <c r="BB31" s="73" t="str">
        <f ca="1">_xlfn.CONCAT(AW31," - ",AX31," - ",AY31," - ",AZ31," - ","Data: ",BA31)</f>
        <v>ATTENZIONE: Data produzione non pianificata - Data cons. rich. INSERITA - Tipo spedizione: VETTORE - Città OK - Data: ATTENZIONE: Giorno congruo presa vettore</v>
      </c>
    </row>
    <row r="32" spans="1:54" x14ac:dyDescent="0.25">
      <c r="A32" s="75" t="s">
        <v>380</v>
      </c>
      <c r="B32" s="76">
        <v>41</v>
      </c>
      <c r="C32" s="76">
        <v>785</v>
      </c>
      <c r="D32" s="76">
        <v>0</v>
      </c>
      <c r="E32" s="85">
        <v>45965</v>
      </c>
      <c r="F32" s="76">
        <v>363</v>
      </c>
      <c r="G32" s="75" t="s">
        <v>341</v>
      </c>
      <c r="H32" s="75" t="s">
        <v>597</v>
      </c>
      <c r="I32" s="75" t="s">
        <v>598</v>
      </c>
      <c r="J32" s="75" t="s">
        <v>599</v>
      </c>
      <c r="K32" s="68">
        <v>1500</v>
      </c>
      <c r="L32" s="86"/>
      <c r="M32" s="68">
        <v>1500</v>
      </c>
      <c r="N32" s="85"/>
      <c r="O32" s="85">
        <v>46008</v>
      </c>
      <c r="P32" s="75" t="s">
        <v>30</v>
      </c>
      <c r="Q32" s="76">
        <v>8</v>
      </c>
      <c r="R32" s="76">
        <v>10</v>
      </c>
      <c r="S32" s="75" t="s">
        <v>42</v>
      </c>
      <c r="T32" s="75" t="s">
        <v>381</v>
      </c>
      <c r="U32" s="75" t="s">
        <v>415</v>
      </c>
      <c r="V32" s="75" t="s">
        <v>416</v>
      </c>
      <c r="W32" s="75" t="s">
        <v>424</v>
      </c>
      <c r="X32" s="75" t="s">
        <v>460</v>
      </c>
      <c r="Y32" s="76">
        <v>5</v>
      </c>
      <c r="Z32" s="75" t="s">
        <v>419</v>
      </c>
      <c r="AA32" s="76">
        <v>870</v>
      </c>
      <c r="AB32" s="75" t="s">
        <v>420</v>
      </c>
      <c r="AC32" s="76">
        <v>235</v>
      </c>
      <c r="AD32" s="76">
        <v>5</v>
      </c>
      <c r="AE32" s="75" t="s">
        <v>383</v>
      </c>
      <c r="AF32" s="76">
        <v>1</v>
      </c>
      <c r="AG32" s="75" t="s">
        <v>418</v>
      </c>
      <c r="AH32" s="76">
        <v>1</v>
      </c>
      <c r="AJ32" s="77" t="s">
        <v>596</v>
      </c>
      <c r="AK32" s="87"/>
      <c r="AL32" s="70" t="s">
        <v>366</v>
      </c>
      <c r="AM32" s="70">
        <v>1</v>
      </c>
      <c r="AN32" s="78" t="s">
        <v>347</v>
      </c>
      <c r="AO32" s="78" t="s">
        <v>334</v>
      </c>
      <c r="AP32" s="79">
        <v>5</v>
      </c>
      <c r="AQ32" s="71" t="str">
        <f>_xlfn.CONCAT(C32,"/",D32)</f>
        <v>785/0</v>
      </c>
      <c r="AR32" s="71" t="str">
        <f>IF(D32=0,"DA CONTRATTO","SPOT")</f>
        <v>DA CONTRATTO</v>
      </c>
      <c r="AS32" s="72" t="str">
        <f>IF(AD32=5,"P","C")</f>
        <v>P</v>
      </c>
      <c r="AT32" s="71">
        <f>VLOOKUP(S32,'FILE PALLETTIZZAZIONI DB SRL'!B:H,5,FALSE)</f>
        <v>2</v>
      </c>
      <c r="AU32" s="71" t="str">
        <f>TEXT(N32,"gggg")</f>
        <v>sabato</v>
      </c>
      <c r="AV32" s="71">
        <f>WEEKNUM(N32)</f>
        <v>0</v>
      </c>
      <c r="AW32" s="71" t="str">
        <f>IF(AND(ISBLANK(N32),AS32="P"), "ATTENZIONE: Data produzione non pianificata", IF(AND(ISBLANK(N32),AS32="C"), "ATTENZIONE: Data arrivo merce acquisti non presente", IF(O32-N32&gt;=AP32, "Data sped. utile INSERITA", "ATTENZIONE: GG. resa non adeguati")))</f>
        <v>ATTENZIONE: Data produzione non pianificata</v>
      </c>
      <c r="AX32" s="71" t="str">
        <f ca="1">IF(ISBLANK(O32), "ATTENZIONE: Data non inserita", IF(O32&lt;=param!B2, "ATTENZIONE: Ritardo, Avvertire il cliente", "Data cons. rich. INSERITA"))</f>
        <v>Data cons. rich. INSERITA</v>
      </c>
      <c r="AY32" s="71" t="str">
        <f>IF(OR(ISBLANK(AP32),ISBLANK(AH32)), "ATTENZIONE: Vettore non associato", IF(V32="VETTORE", "Tipo spedizione: VETTORE", IF(V32="DESTINATARIO", "Tipo spedizione: DESTINATARIO", IF(ISBLANK(V32), "ATTENZIONE: Vettore vuoto", "?"))))</f>
        <v>Tipo spedizione: VETTORE</v>
      </c>
      <c r="AZ32" s="71" t="str">
        <f>IF(AM32=1, "Città OK", "ATTENZIONE: CAP non presente")</f>
        <v>Città OK</v>
      </c>
      <c r="BA32" s="73" t="s">
        <v>387</v>
      </c>
      <c r="BB32" s="73" t="str">
        <f ca="1">_xlfn.CONCAT(AW32," - ",AX32," - ",AY32," - ",AZ32," - ","Data: ",BA32)</f>
        <v>ATTENZIONE: Data produzione non pianificata - Data cons. rich. INSERITA - Tipo spedizione: VETTORE - Città OK - Data: ATTENZIONE: Giorno congruo presa vettore</v>
      </c>
    </row>
    <row r="33" spans="1:54" x14ac:dyDescent="0.25">
      <c r="A33" s="75" t="s">
        <v>380</v>
      </c>
      <c r="B33" s="76">
        <v>43</v>
      </c>
      <c r="C33" s="76">
        <v>786</v>
      </c>
      <c r="D33" s="76">
        <v>0</v>
      </c>
      <c r="E33" s="85">
        <v>45965</v>
      </c>
      <c r="F33" s="76">
        <v>363</v>
      </c>
      <c r="G33" s="75" t="s">
        <v>341</v>
      </c>
      <c r="H33" s="75" t="s">
        <v>600</v>
      </c>
      <c r="I33" s="75" t="s">
        <v>601</v>
      </c>
      <c r="J33" s="75" t="s">
        <v>602</v>
      </c>
      <c r="K33" s="68">
        <v>2500</v>
      </c>
      <c r="L33" s="86"/>
      <c r="M33" s="68">
        <v>2500</v>
      </c>
      <c r="N33" s="85"/>
      <c r="O33" s="85">
        <v>46008</v>
      </c>
      <c r="P33" s="75" t="s">
        <v>30</v>
      </c>
      <c r="Q33" s="76">
        <v>8</v>
      </c>
      <c r="R33" s="76">
        <v>10</v>
      </c>
      <c r="S33" s="75" t="s">
        <v>42</v>
      </c>
      <c r="T33" s="75" t="s">
        <v>381</v>
      </c>
      <c r="U33" s="75" t="s">
        <v>415</v>
      </c>
      <c r="V33" s="75" t="s">
        <v>416</v>
      </c>
      <c r="W33" s="75" t="s">
        <v>424</v>
      </c>
      <c r="X33" s="75" t="s">
        <v>460</v>
      </c>
      <c r="Y33" s="76">
        <v>5</v>
      </c>
      <c r="Z33" s="75" t="s">
        <v>419</v>
      </c>
      <c r="AA33" s="76">
        <v>213</v>
      </c>
      <c r="AB33" s="75" t="s">
        <v>33</v>
      </c>
      <c r="AC33" s="76">
        <v>235</v>
      </c>
      <c r="AD33" s="76">
        <v>5</v>
      </c>
      <c r="AE33" s="75" t="s">
        <v>383</v>
      </c>
      <c r="AF33" s="76">
        <v>1</v>
      </c>
      <c r="AG33" s="75" t="s">
        <v>418</v>
      </c>
      <c r="AH33" s="76">
        <v>1</v>
      </c>
      <c r="AJ33" s="77" t="s">
        <v>596</v>
      </c>
      <c r="AK33" s="87"/>
      <c r="AL33" s="70" t="s">
        <v>366</v>
      </c>
      <c r="AM33" s="70">
        <v>1</v>
      </c>
      <c r="AN33" s="78" t="s">
        <v>347</v>
      </c>
      <c r="AO33" s="78" t="s">
        <v>334</v>
      </c>
      <c r="AP33" s="79">
        <v>5</v>
      </c>
      <c r="AQ33" s="71" t="str">
        <f>_xlfn.CONCAT(C33,"/",D33)</f>
        <v>786/0</v>
      </c>
      <c r="AR33" s="71" t="str">
        <f>IF(D33=0,"DA CONTRATTO","SPOT")</f>
        <v>DA CONTRATTO</v>
      </c>
      <c r="AS33" s="72" t="str">
        <f>IF(AD33=5,"P","C")</f>
        <v>P</v>
      </c>
      <c r="AT33" s="71">
        <f>VLOOKUP(S33,'FILE PALLETTIZZAZIONI DB SRL'!B:H,5,FALSE)</f>
        <v>2</v>
      </c>
      <c r="AU33" s="71" t="str">
        <f>TEXT(N33,"gggg")</f>
        <v>sabato</v>
      </c>
      <c r="AV33" s="71">
        <f>WEEKNUM(N33)</f>
        <v>0</v>
      </c>
      <c r="AW33" s="71" t="str">
        <f>IF(AND(ISBLANK(N33),AS33="P"), "ATTENZIONE: Data produzione non pianificata", IF(AND(ISBLANK(N33),AS33="C"), "ATTENZIONE: Data arrivo merce acquisti non presente", IF(O33-N33&gt;=AP33, "Data sped. utile INSERITA", "ATTENZIONE: GG. resa non adeguati")))</f>
        <v>ATTENZIONE: Data produzione non pianificata</v>
      </c>
      <c r="AX33" s="71" t="str">
        <f ca="1">IF(ISBLANK(O33), "ATTENZIONE: Data non inserita", IF(O33&lt;=param!B2, "ATTENZIONE: Ritardo, Avvertire il cliente", "Data cons. rich. INSERITA"))</f>
        <v>Data cons. rich. INSERITA</v>
      </c>
      <c r="AY33" s="71" t="str">
        <f>IF(OR(ISBLANK(AP33),ISBLANK(AH33)), "ATTENZIONE: Vettore non associato", IF(V33="VETTORE", "Tipo spedizione: VETTORE", IF(V33="DESTINATARIO", "Tipo spedizione: DESTINATARIO", IF(ISBLANK(V33), "ATTENZIONE: Vettore vuoto", "?"))))</f>
        <v>Tipo spedizione: VETTORE</v>
      </c>
      <c r="AZ33" s="71" t="str">
        <f>IF(AM33=1, "Città OK", "ATTENZIONE: CAP non presente")</f>
        <v>Città OK</v>
      </c>
      <c r="BA33" s="73" t="s">
        <v>387</v>
      </c>
      <c r="BB33" s="73" t="str">
        <f ca="1">_xlfn.CONCAT(AW33," - ",AX33," - ",AY33," - ",AZ33," - ","Data: ",BA33)</f>
        <v>ATTENZIONE: Data produzione non pianificata - Data cons. rich. INSERITA - Tipo spedizione: VETTORE - Città OK - Data: ATTENZIONE: Giorno congruo presa vettore</v>
      </c>
    </row>
    <row r="34" spans="1:54" x14ac:dyDescent="0.25">
      <c r="A34" s="75" t="s">
        <v>380</v>
      </c>
      <c r="B34" s="76">
        <v>45</v>
      </c>
      <c r="C34" s="76">
        <v>795</v>
      </c>
      <c r="D34" s="76">
        <v>0</v>
      </c>
      <c r="E34" s="85">
        <v>45968</v>
      </c>
      <c r="F34" s="76">
        <v>363</v>
      </c>
      <c r="G34" s="75" t="s">
        <v>341</v>
      </c>
      <c r="H34" s="75" t="s">
        <v>650</v>
      </c>
      <c r="I34" s="75" t="s">
        <v>651</v>
      </c>
      <c r="J34" s="75" t="s">
        <v>652</v>
      </c>
      <c r="K34" s="68">
        <v>1000</v>
      </c>
      <c r="L34" s="86"/>
      <c r="M34" s="68">
        <v>1000</v>
      </c>
      <c r="N34" s="85"/>
      <c r="O34" s="85">
        <v>46009</v>
      </c>
      <c r="P34" s="75" t="s">
        <v>30</v>
      </c>
      <c r="Q34" s="76">
        <v>8</v>
      </c>
      <c r="R34" s="76">
        <v>10</v>
      </c>
      <c r="S34" s="75" t="s">
        <v>42</v>
      </c>
      <c r="T34" s="75" t="s">
        <v>381</v>
      </c>
      <c r="U34" s="75" t="s">
        <v>415</v>
      </c>
      <c r="V34" s="75" t="s">
        <v>416</v>
      </c>
      <c r="W34" s="75" t="s">
        <v>424</v>
      </c>
      <c r="X34" s="75" t="s">
        <v>385</v>
      </c>
      <c r="Y34" s="76">
        <v>5</v>
      </c>
      <c r="Z34" s="75" t="s">
        <v>419</v>
      </c>
      <c r="AA34" s="76">
        <v>870</v>
      </c>
      <c r="AB34" s="75" t="s">
        <v>420</v>
      </c>
      <c r="AC34" s="76">
        <v>235</v>
      </c>
      <c r="AD34" s="76">
        <v>5</v>
      </c>
      <c r="AE34" s="75" t="s">
        <v>383</v>
      </c>
      <c r="AF34" s="76">
        <v>1</v>
      </c>
      <c r="AG34" s="75" t="s">
        <v>418</v>
      </c>
      <c r="AH34" s="76">
        <v>1</v>
      </c>
      <c r="AJ34" s="77" t="s">
        <v>653</v>
      </c>
      <c r="AK34" s="87"/>
      <c r="AL34" s="70" t="s">
        <v>366</v>
      </c>
      <c r="AM34" s="70">
        <v>1</v>
      </c>
      <c r="AN34" s="78" t="s">
        <v>347</v>
      </c>
      <c r="AO34" s="78" t="s">
        <v>334</v>
      </c>
      <c r="AP34" s="79">
        <v>5</v>
      </c>
      <c r="AQ34" s="71" t="str">
        <f>_xlfn.CONCAT(C34,"/",D34)</f>
        <v>795/0</v>
      </c>
      <c r="AR34" s="71" t="str">
        <f>IF(D34=0,"DA CONTRATTO","SPOT")</f>
        <v>DA CONTRATTO</v>
      </c>
      <c r="AS34" s="72" t="str">
        <f>IF(AD34=5,"P","C")</f>
        <v>P</v>
      </c>
      <c r="AT34" s="71">
        <f>VLOOKUP(S34,'FILE PALLETTIZZAZIONI DB SRL'!B:H,5,FALSE)</f>
        <v>2</v>
      </c>
      <c r="AU34" s="71" t="str">
        <f>TEXT(N34,"gggg")</f>
        <v>sabato</v>
      </c>
      <c r="AV34" s="71">
        <f>WEEKNUM(N34)</f>
        <v>0</v>
      </c>
      <c r="AW34" s="71" t="str">
        <f>IF(AND(ISBLANK(N34),AS34="P"), "ATTENZIONE: Data produzione non pianificata", IF(AND(ISBLANK(N34),AS34="C"), "ATTENZIONE: Data arrivo merce acquisti non presente", IF(O34-N34&gt;=AP34, "Data sped. utile INSERITA", "ATTENZIONE: GG. resa non adeguati")))</f>
        <v>ATTENZIONE: Data produzione non pianificata</v>
      </c>
      <c r="AX34" s="71" t="str">
        <f ca="1">IF(ISBLANK(O34), "ATTENZIONE: Data non inserita", IF(O34&lt;=param!B2, "ATTENZIONE: Ritardo, Avvertire il cliente", "Data cons. rich. INSERITA"))</f>
        <v>Data cons. rich. INSERITA</v>
      </c>
      <c r="AY34" s="71" t="str">
        <f>IF(OR(ISBLANK(AP34),ISBLANK(AH34)), "ATTENZIONE: Vettore non associato", IF(V34="VETTORE", "Tipo spedizione: VETTORE", IF(V34="DESTINATARIO", "Tipo spedizione: DESTINATARIO", IF(ISBLANK(V34), "ATTENZIONE: Vettore vuoto", "?"))))</f>
        <v>Tipo spedizione: VETTORE</v>
      </c>
      <c r="AZ34" s="71" t="str">
        <f>IF(AM34=1, "Città OK", "ATTENZIONE: CAP non presente")</f>
        <v>Città OK</v>
      </c>
      <c r="BA34" s="73" t="s">
        <v>387</v>
      </c>
      <c r="BB34" s="73" t="str">
        <f ca="1">_xlfn.CONCAT(AW34," - ",AX34," - ",AY34," - ",AZ34," - ","Data: ",BA34)</f>
        <v>ATTENZIONE: Data produzione non pianificata - Data cons. rich. INSERITA - Tipo spedizione: VETTORE - Città OK - Data: ATTENZIONE: Giorno congruo presa vettore</v>
      </c>
    </row>
    <row r="35" spans="1:54" x14ac:dyDescent="0.25">
      <c r="A35" s="75" t="s">
        <v>380</v>
      </c>
      <c r="B35" s="76">
        <v>47</v>
      </c>
      <c r="C35" s="76">
        <v>817</v>
      </c>
      <c r="D35" s="76">
        <v>0</v>
      </c>
      <c r="E35" s="85">
        <v>45979</v>
      </c>
      <c r="F35" s="76">
        <v>363</v>
      </c>
      <c r="G35" s="75" t="s">
        <v>341</v>
      </c>
      <c r="H35" s="75" t="s">
        <v>640</v>
      </c>
      <c r="I35" s="75" t="s">
        <v>784</v>
      </c>
      <c r="J35" s="75" t="s">
        <v>785</v>
      </c>
      <c r="K35" s="68">
        <v>3200</v>
      </c>
      <c r="L35" s="86"/>
      <c r="M35" s="68">
        <v>3200</v>
      </c>
      <c r="N35" s="85"/>
      <c r="O35" s="85">
        <v>46036</v>
      </c>
      <c r="P35" s="75" t="s">
        <v>30</v>
      </c>
      <c r="Q35" s="76"/>
      <c r="R35" s="76"/>
      <c r="S35" s="75" t="s">
        <v>39</v>
      </c>
      <c r="T35" s="75" t="s">
        <v>381</v>
      </c>
      <c r="U35" s="75" t="s">
        <v>415</v>
      </c>
      <c r="V35" s="75" t="s">
        <v>416</v>
      </c>
      <c r="W35" s="75" t="s">
        <v>786</v>
      </c>
      <c r="X35" s="75" t="s">
        <v>787</v>
      </c>
      <c r="Y35" s="76">
        <v>5</v>
      </c>
      <c r="Z35" s="75" t="s">
        <v>425</v>
      </c>
      <c r="AA35" s="76">
        <v>208</v>
      </c>
      <c r="AB35" s="75" t="s">
        <v>426</v>
      </c>
      <c r="AC35" s="76">
        <v>120</v>
      </c>
      <c r="AD35" s="76">
        <v>5</v>
      </c>
      <c r="AE35" s="75" t="s">
        <v>383</v>
      </c>
      <c r="AF35" s="76">
        <v>1</v>
      </c>
      <c r="AG35" s="75" t="s">
        <v>418</v>
      </c>
      <c r="AH35" s="76">
        <v>1</v>
      </c>
      <c r="AJ35" s="77" t="s">
        <v>788</v>
      </c>
      <c r="AK35" s="87"/>
      <c r="AL35" s="70" t="s">
        <v>366</v>
      </c>
      <c r="AM35" s="70">
        <v>1</v>
      </c>
      <c r="AN35" s="78" t="s">
        <v>347</v>
      </c>
      <c r="AO35" s="78" t="s">
        <v>334</v>
      </c>
      <c r="AP35" s="79">
        <v>5</v>
      </c>
      <c r="AQ35" s="71" t="str">
        <f>_xlfn.CONCAT(C35,"/",D35)</f>
        <v>817/0</v>
      </c>
      <c r="AR35" s="71" t="str">
        <f>IF(D35=0,"DA CONTRATTO","SPOT")</f>
        <v>DA CONTRATTO</v>
      </c>
      <c r="AS35" s="72" t="str">
        <f>IF(AD35=5,"P","C")</f>
        <v>P</v>
      </c>
      <c r="AT35" s="71">
        <f>VLOOKUP(S35,'FILE PALLETTIZZAZIONI DB SRL'!B:H,5,FALSE)</f>
        <v>32</v>
      </c>
      <c r="AU35" s="71" t="str">
        <f>TEXT(N35,"gggg")</f>
        <v>sabato</v>
      </c>
      <c r="AV35" s="71">
        <f>WEEKNUM(N35)</f>
        <v>0</v>
      </c>
      <c r="AW35" s="71" t="str">
        <f>IF(AND(ISBLANK(N35),AS35="P"), "ATTENZIONE: Data produzione non pianificata", IF(AND(ISBLANK(N35),AS35="C"), "ATTENZIONE: Data arrivo merce acquisti non presente", IF(O35-N35&gt;=AP35, "Data sped. utile INSERITA", "ATTENZIONE: GG. resa non adeguati")))</f>
        <v>ATTENZIONE: Data produzione non pianificata</v>
      </c>
      <c r="AX35" s="71" t="str">
        <f ca="1">IF(ISBLANK(O35), "ATTENZIONE: Data non inserita", IF(O35&lt;=param!B2, "ATTENZIONE: Ritardo, Avvertire il cliente", "Data cons. rich. INSERITA"))</f>
        <v>Data cons. rich. INSERITA</v>
      </c>
      <c r="AY35" s="71" t="str">
        <f>IF(OR(ISBLANK(AP35),ISBLANK(AH35)), "ATTENZIONE: Vettore non associato", IF(V35="VETTORE", "Tipo spedizione: VETTORE", IF(V35="DESTINATARIO", "Tipo spedizione: DESTINATARIO", IF(ISBLANK(V35), "ATTENZIONE: Vettore vuoto", "?"))))</f>
        <v>Tipo spedizione: VETTORE</v>
      </c>
      <c r="AZ35" s="71" t="str">
        <f>IF(AM35=1, "Città OK", "ATTENZIONE: CAP non presente")</f>
        <v>Città OK</v>
      </c>
      <c r="BA35" s="73" t="s">
        <v>387</v>
      </c>
      <c r="BB35" s="73" t="str">
        <f ca="1">_xlfn.CONCAT(AW35," - ",AX35," - ",AY35," - ",AZ35," - ","Data: ",BA35)</f>
        <v>ATTENZIONE: Data produzione non pianificata - Data cons. rich. INSERITA - Tipo spedizione: VETTORE - Città OK - Data: ATTENZIONE: Giorno congruo presa vettore</v>
      </c>
    </row>
    <row r="36" spans="1:54" x14ac:dyDescent="0.25">
      <c r="A36" s="75" t="s">
        <v>380</v>
      </c>
      <c r="B36" s="76">
        <v>49</v>
      </c>
      <c r="C36" s="76">
        <v>818</v>
      </c>
      <c r="D36" s="76">
        <v>0</v>
      </c>
      <c r="E36" s="85">
        <v>45979</v>
      </c>
      <c r="F36" s="76">
        <v>363</v>
      </c>
      <c r="G36" s="75" t="s">
        <v>341</v>
      </c>
      <c r="H36" s="75" t="s">
        <v>789</v>
      </c>
      <c r="I36" s="75" t="s">
        <v>790</v>
      </c>
      <c r="J36" s="75" t="s">
        <v>791</v>
      </c>
      <c r="K36" s="68">
        <v>1920</v>
      </c>
      <c r="L36" s="86"/>
      <c r="M36" s="68">
        <v>1920</v>
      </c>
      <c r="N36" s="85"/>
      <c r="O36" s="85"/>
      <c r="P36" s="75" t="s">
        <v>30</v>
      </c>
      <c r="Q36" s="76">
        <v>8</v>
      </c>
      <c r="R36" s="76">
        <v>10</v>
      </c>
      <c r="S36" s="75" t="s">
        <v>39</v>
      </c>
      <c r="T36" s="75" t="s">
        <v>381</v>
      </c>
      <c r="U36" s="75" t="s">
        <v>415</v>
      </c>
      <c r="V36" s="75" t="s">
        <v>416</v>
      </c>
      <c r="W36" s="75" t="s">
        <v>786</v>
      </c>
      <c r="X36" s="75" t="s">
        <v>787</v>
      </c>
      <c r="Y36" s="76">
        <v>5</v>
      </c>
      <c r="Z36" s="75" t="s">
        <v>425</v>
      </c>
      <c r="AA36" s="76">
        <v>208</v>
      </c>
      <c r="AB36" s="75" t="s">
        <v>426</v>
      </c>
      <c r="AC36" s="76">
        <v>120</v>
      </c>
      <c r="AD36" s="76">
        <v>5</v>
      </c>
      <c r="AE36" s="75" t="s">
        <v>383</v>
      </c>
      <c r="AF36" s="76">
        <v>1</v>
      </c>
      <c r="AG36" s="75" t="s">
        <v>418</v>
      </c>
      <c r="AH36" s="76">
        <v>1</v>
      </c>
      <c r="AJ36" s="77" t="s">
        <v>788</v>
      </c>
      <c r="AK36" s="87"/>
      <c r="AL36" s="70" t="s">
        <v>366</v>
      </c>
      <c r="AM36" s="70">
        <v>1</v>
      </c>
      <c r="AN36" s="78" t="s">
        <v>347</v>
      </c>
      <c r="AO36" s="78" t="s">
        <v>334</v>
      </c>
      <c r="AP36" s="79">
        <v>5</v>
      </c>
      <c r="AQ36" s="71" t="str">
        <f>_xlfn.CONCAT(C36,"/",D36)</f>
        <v>818/0</v>
      </c>
      <c r="AR36" s="71" t="str">
        <f>IF(D36=0,"DA CONTRATTO","SPOT")</f>
        <v>DA CONTRATTO</v>
      </c>
      <c r="AS36" s="72" t="str">
        <f>IF(AD36=5,"P","C")</f>
        <v>P</v>
      </c>
      <c r="AT36" s="71">
        <f>VLOOKUP(S36,'FILE PALLETTIZZAZIONI DB SRL'!B:H,5,FALSE)</f>
        <v>32</v>
      </c>
      <c r="AU36" s="71" t="str">
        <f>TEXT(N36,"gggg")</f>
        <v>sabato</v>
      </c>
      <c r="AV36" s="71">
        <f>WEEKNUM(N36)</f>
        <v>0</v>
      </c>
      <c r="AW36" s="71" t="str">
        <f>IF(AND(ISBLANK(N36),AS36="P"), "ATTENZIONE: Data produzione non pianificata", IF(AND(ISBLANK(N36),AS36="C"), "ATTENZIONE: Data arrivo merce acquisti non presente", IF(O36-N36&gt;=AP36, "Data sped. utile INSERITA", "ATTENZIONE: GG. resa non adeguati")))</f>
        <v>ATTENZIONE: Data produzione non pianificata</v>
      </c>
      <c r="AX36" s="71" t="str">
        <f>IF(ISBLANK(O36), "ATTENZIONE: Data non inserita", IF(O36&lt;=param!B2, "ATTENZIONE: Ritardo, Avvertire il cliente", "Data cons. rich. INSERITA"))</f>
        <v>ATTENZIONE: Data non inserita</v>
      </c>
      <c r="AY36" s="71" t="str">
        <f>IF(OR(ISBLANK(AP36),ISBLANK(AH36)), "ATTENZIONE: Vettore non associato", IF(V36="VETTORE", "Tipo spedizione: VETTORE", IF(V36="DESTINATARIO", "Tipo spedizione: DESTINATARIO", IF(ISBLANK(V36), "ATTENZIONE: Vettore vuoto", "?"))))</f>
        <v>Tipo spedizione: VETTORE</v>
      </c>
      <c r="AZ36" s="71" t="str">
        <f>IF(AM36=1, "Città OK", "ATTENZIONE: CAP non presente")</f>
        <v>Città OK</v>
      </c>
      <c r="BA36" s="73" t="s">
        <v>387</v>
      </c>
      <c r="BB36" s="73" t="str">
        <f>_xlfn.CONCAT(AW36," - ",AX36," - ",AY36," - ",AZ36," - ","Data: ",BA36)</f>
        <v>ATTENZIONE: Data produzione non pianificata - ATTENZIONE: Data non inserita - Tipo spedizione: VETTORE - Città OK - Data: ATTENZIONE: Giorno congruo presa vettore</v>
      </c>
    </row>
    <row r="37" spans="1:54" x14ac:dyDescent="0.25">
      <c r="A37" s="75" t="s">
        <v>380</v>
      </c>
      <c r="B37" s="76">
        <v>51</v>
      </c>
      <c r="C37" s="76">
        <v>819</v>
      </c>
      <c r="D37" s="76">
        <v>0</v>
      </c>
      <c r="E37" s="85">
        <v>45979</v>
      </c>
      <c r="F37" s="76">
        <v>363</v>
      </c>
      <c r="G37" s="75" t="s">
        <v>341</v>
      </c>
      <c r="H37" s="75" t="s">
        <v>792</v>
      </c>
      <c r="I37" s="75" t="s">
        <v>793</v>
      </c>
      <c r="J37" s="75" t="s">
        <v>794</v>
      </c>
      <c r="K37" s="68">
        <v>2304</v>
      </c>
      <c r="L37" s="86"/>
      <c r="M37" s="68">
        <v>2304</v>
      </c>
      <c r="N37" s="85"/>
      <c r="O37" s="85">
        <v>46036</v>
      </c>
      <c r="P37" s="75" t="s">
        <v>30</v>
      </c>
      <c r="Q37" s="76">
        <v>8</v>
      </c>
      <c r="R37" s="76">
        <v>10</v>
      </c>
      <c r="S37" s="75" t="s">
        <v>41</v>
      </c>
      <c r="T37" s="75" t="s">
        <v>381</v>
      </c>
      <c r="U37" s="75" t="s">
        <v>415</v>
      </c>
      <c r="V37" s="75" t="s">
        <v>416</v>
      </c>
      <c r="W37" s="75" t="s">
        <v>786</v>
      </c>
      <c r="X37" s="75" t="s">
        <v>787</v>
      </c>
      <c r="Y37" s="76">
        <v>5</v>
      </c>
      <c r="Z37" s="75" t="s">
        <v>669</v>
      </c>
      <c r="AA37" s="76">
        <v>202</v>
      </c>
      <c r="AB37" s="75" t="s">
        <v>795</v>
      </c>
      <c r="AC37" s="76">
        <v>125</v>
      </c>
      <c r="AD37" s="76">
        <v>5</v>
      </c>
      <c r="AE37" s="75" t="s">
        <v>383</v>
      </c>
      <c r="AF37" s="76">
        <v>1</v>
      </c>
      <c r="AG37" s="75" t="s">
        <v>418</v>
      </c>
      <c r="AH37" s="76">
        <v>1</v>
      </c>
      <c r="AJ37" s="77" t="s">
        <v>788</v>
      </c>
      <c r="AK37" s="87"/>
      <c r="AL37" s="70" t="s">
        <v>366</v>
      </c>
      <c r="AM37" s="70">
        <v>1</v>
      </c>
      <c r="AN37" s="78" t="s">
        <v>347</v>
      </c>
      <c r="AO37" s="78" t="s">
        <v>334</v>
      </c>
      <c r="AP37" s="79">
        <v>5</v>
      </c>
      <c r="AQ37" s="71" t="str">
        <f>_xlfn.CONCAT(C37,"/",D37)</f>
        <v>819/0</v>
      </c>
      <c r="AR37" s="71" t="str">
        <f>IF(D37=0,"DA CONTRATTO","SPOT")</f>
        <v>DA CONTRATTO</v>
      </c>
      <c r="AS37" s="72" t="str">
        <f>IF(AD37=5,"P","C")</f>
        <v>P</v>
      </c>
      <c r="AT37" s="71">
        <f>VLOOKUP(S37,'FILE PALLETTIZZAZIONI DB SRL'!B:H,5,FALSE)</f>
        <v>28.333333333333332</v>
      </c>
      <c r="AU37" s="71" t="str">
        <f>TEXT(N37,"gggg")</f>
        <v>sabato</v>
      </c>
      <c r="AV37" s="71">
        <f>WEEKNUM(N37)</f>
        <v>0</v>
      </c>
      <c r="AW37" s="71" t="str">
        <f>IF(AND(ISBLANK(N37),AS37="P"), "ATTENZIONE: Data produzione non pianificata", IF(AND(ISBLANK(N37),AS37="C"), "ATTENZIONE: Data arrivo merce acquisti non presente", IF(O37-N37&gt;=AP37, "Data sped. utile INSERITA", "ATTENZIONE: GG. resa non adeguati")))</f>
        <v>ATTENZIONE: Data produzione non pianificata</v>
      </c>
      <c r="AX37" s="71" t="str">
        <f ca="1">IF(ISBLANK(O37), "ATTENZIONE: Data non inserita", IF(O37&lt;=param!B2, "ATTENZIONE: Ritardo, Avvertire il cliente", "Data cons. rich. INSERITA"))</f>
        <v>Data cons. rich. INSERITA</v>
      </c>
      <c r="AY37" s="71" t="str">
        <f>IF(OR(ISBLANK(AP37),ISBLANK(AH37)), "ATTENZIONE: Vettore non associato", IF(V37="VETTORE", "Tipo spedizione: VETTORE", IF(V37="DESTINATARIO", "Tipo spedizione: DESTINATARIO", IF(ISBLANK(V37), "ATTENZIONE: Vettore vuoto", "?"))))</f>
        <v>Tipo spedizione: VETTORE</v>
      </c>
      <c r="AZ37" s="71" t="str">
        <f>IF(AM37=1, "Città OK", "ATTENZIONE: CAP non presente")</f>
        <v>Città OK</v>
      </c>
      <c r="BA37" s="73" t="s">
        <v>387</v>
      </c>
      <c r="BB37" s="73" t="str">
        <f ca="1">_xlfn.CONCAT(AW37," - ",AX37," - ",AY37," - ",AZ37," - ","Data: ",BA37)</f>
        <v>ATTENZIONE: Data produzione non pianificata - Data cons. rich. INSERITA - Tipo spedizione: VETTORE - Città OK - Data: ATTENZIONE: Giorno congruo presa vettore</v>
      </c>
    </row>
    <row r="38" spans="1:54" x14ac:dyDescent="0.25">
      <c r="A38" s="75" t="s">
        <v>380</v>
      </c>
      <c r="B38" s="76">
        <v>53</v>
      </c>
      <c r="C38" s="76">
        <v>820</v>
      </c>
      <c r="D38" s="76">
        <v>0</v>
      </c>
      <c r="E38" s="85">
        <v>45979</v>
      </c>
      <c r="F38" s="76">
        <v>363</v>
      </c>
      <c r="G38" s="75" t="s">
        <v>341</v>
      </c>
      <c r="H38" s="75" t="s">
        <v>796</v>
      </c>
      <c r="I38" s="75" t="s">
        <v>797</v>
      </c>
      <c r="J38" s="75" t="s">
        <v>798</v>
      </c>
      <c r="K38" s="68">
        <v>2560</v>
      </c>
      <c r="L38" s="86"/>
      <c r="M38" s="68">
        <v>2560</v>
      </c>
      <c r="N38" s="85"/>
      <c r="O38" s="85">
        <v>46036</v>
      </c>
      <c r="P38" s="75" t="s">
        <v>30</v>
      </c>
      <c r="Q38" s="76">
        <v>8</v>
      </c>
      <c r="R38" s="76">
        <v>10</v>
      </c>
      <c r="S38" s="75" t="s">
        <v>39</v>
      </c>
      <c r="T38" s="75" t="s">
        <v>381</v>
      </c>
      <c r="U38" s="75" t="s">
        <v>415</v>
      </c>
      <c r="V38" s="75" t="s">
        <v>416</v>
      </c>
      <c r="W38" s="75" t="s">
        <v>786</v>
      </c>
      <c r="X38" s="75" t="s">
        <v>787</v>
      </c>
      <c r="Y38" s="76">
        <v>5</v>
      </c>
      <c r="Z38" s="75" t="s">
        <v>669</v>
      </c>
      <c r="AA38" s="76">
        <v>216</v>
      </c>
      <c r="AB38" s="75" t="s">
        <v>721</v>
      </c>
      <c r="AC38" s="76">
        <v>125</v>
      </c>
      <c r="AD38" s="76">
        <v>5</v>
      </c>
      <c r="AE38" s="75" t="s">
        <v>383</v>
      </c>
      <c r="AF38" s="76">
        <v>1</v>
      </c>
      <c r="AG38" s="75" t="s">
        <v>418</v>
      </c>
      <c r="AH38" s="76">
        <v>1</v>
      </c>
      <c r="AJ38" s="77" t="s">
        <v>788</v>
      </c>
      <c r="AK38" s="87"/>
      <c r="AL38" s="70" t="s">
        <v>366</v>
      </c>
      <c r="AM38" s="70">
        <v>1</v>
      </c>
      <c r="AN38" s="78" t="s">
        <v>347</v>
      </c>
      <c r="AO38" s="78" t="s">
        <v>334</v>
      </c>
      <c r="AP38" s="79">
        <v>5</v>
      </c>
      <c r="AQ38" s="71" t="str">
        <f>_xlfn.CONCAT(C38,"/",D38)</f>
        <v>820/0</v>
      </c>
      <c r="AR38" s="71" t="str">
        <f>IF(D38=0,"DA CONTRATTO","SPOT")</f>
        <v>DA CONTRATTO</v>
      </c>
      <c r="AS38" s="72" t="str">
        <f>IF(AD38=5,"P","C")</f>
        <v>P</v>
      </c>
      <c r="AT38" s="71">
        <f>VLOOKUP(S38,'FILE PALLETTIZZAZIONI DB SRL'!B:H,5,FALSE)</f>
        <v>32</v>
      </c>
      <c r="AU38" s="71" t="str">
        <f>TEXT(N38,"gggg")</f>
        <v>sabato</v>
      </c>
      <c r="AV38" s="71">
        <f>WEEKNUM(N38)</f>
        <v>0</v>
      </c>
      <c r="AW38" s="71" t="str">
        <f>IF(AND(ISBLANK(N38),AS38="P"), "ATTENZIONE: Data produzione non pianificata", IF(AND(ISBLANK(N38),AS38="C"), "ATTENZIONE: Data arrivo merce acquisti non presente", IF(O38-N38&gt;=AP38, "Data sped. utile INSERITA", "ATTENZIONE: GG. resa non adeguati")))</f>
        <v>ATTENZIONE: Data produzione non pianificata</v>
      </c>
      <c r="AX38" s="71" t="str">
        <f ca="1">IF(ISBLANK(O38), "ATTENZIONE: Data non inserita", IF(O38&lt;=param!B2, "ATTENZIONE: Ritardo, Avvertire il cliente", "Data cons. rich. INSERITA"))</f>
        <v>Data cons. rich. INSERITA</v>
      </c>
      <c r="AY38" s="71" t="str">
        <f>IF(OR(ISBLANK(AP38),ISBLANK(AH38)), "ATTENZIONE: Vettore non associato", IF(V38="VETTORE", "Tipo spedizione: VETTORE", IF(V38="DESTINATARIO", "Tipo spedizione: DESTINATARIO", IF(ISBLANK(V38), "ATTENZIONE: Vettore vuoto", "?"))))</f>
        <v>Tipo spedizione: VETTORE</v>
      </c>
      <c r="AZ38" s="71" t="str">
        <f>IF(AM38=1, "Città OK", "ATTENZIONE: CAP non presente")</f>
        <v>Città OK</v>
      </c>
      <c r="BA38" s="73" t="s">
        <v>387</v>
      </c>
      <c r="BB38" s="73" t="str">
        <f ca="1">_xlfn.CONCAT(AW38," - ",AX38," - ",AY38," - ",AZ38," - ","Data: ",BA38)</f>
        <v>ATTENZIONE: Data produzione non pianificata - Data cons. rich. INSERITA - Tipo spedizione: VETTORE - Città OK - Data: ATTENZIONE: Giorno congruo presa vettore</v>
      </c>
    </row>
    <row r="39" spans="1:54" x14ac:dyDescent="0.25">
      <c r="A39" s="75" t="s">
        <v>380</v>
      </c>
      <c r="B39" s="76">
        <v>55</v>
      </c>
      <c r="C39" s="76">
        <v>821</v>
      </c>
      <c r="D39" s="76">
        <v>0</v>
      </c>
      <c r="E39" s="85">
        <v>45979</v>
      </c>
      <c r="F39" s="76">
        <v>363</v>
      </c>
      <c r="G39" s="75" t="s">
        <v>341</v>
      </c>
      <c r="H39" s="75" t="s">
        <v>789</v>
      </c>
      <c r="I39" s="75" t="s">
        <v>790</v>
      </c>
      <c r="J39" s="75" t="s">
        <v>791</v>
      </c>
      <c r="K39" s="68">
        <v>3200</v>
      </c>
      <c r="L39" s="86"/>
      <c r="M39" s="68">
        <v>3200</v>
      </c>
      <c r="N39" s="85"/>
      <c r="O39" s="85">
        <v>46037</v>
      </c>
      <c r="P39" s="75" t="s">
        <v>30</v>
      </c>
      <c r="Q39" s="76">
        <v>8</v>
      </c>
      <c r="R39" s="76">
        <v>10</v>
      </c>
      <c r="S39" s="75" t="s">
        <v>39</v>
      </c>
      <c r="T39" s="75" t="s">
        <v>381</v>
      </c>
      <c r="U39" s="75" t="s">
        <v>415</v>
      </c>
      <c r="V39" s="75" t="s">
        <v>416</v>
      </c>
      <c r="W39" s="75" t="s">
        <v>424</v>
      </c>
      <c r="X39" s="75" t="s">
        <v>385</v>
      </c>
      <c r="Y39" s="76">
        <v>5</v>
      </c>
      <c r="Z39" s="75" t="s">
        <v>425</v>
      </c>
      <c r="AA39" s="76">
        <v>208</v>
      </c>
      <c r="AB39" s="75" t="s">
        <v>426</v>
      </c>
      <c r="AC39" s="76">
        <v>120</v>
      </c>
      <c r="AD39" s="76">
        <v>5</v>
      </c>
      <c r="AE39" s="75" t="s">
        <v>383</v>
      </c>
      <c r="AF39" s="76">
        <v>1</v>
      </c>
      <c r="AG39" s="75" t="s">
        <v>418</v>
      </c>
      <c r="AH39" s="76">
        <v>1</v>
      </c>
      <c r="AJ39" s="77" t="s">
        <v>799</v>
      </c>
      <c r="AK39" s="87"/>
      <c r="AL39" s="70" t="s">
        <v>366</v>
      </c>
      <c r="AM39" s="70">
        <v>1</v>
      </c>
      <c r="AN39" s="78" t="s">
        <v>347</v>
      </c>
      <c r="AO39" s="78" t="s">
        <v>334</v>
      </c>
      <c r="AP39" s="79">
        <v>5</v>
      </c>
      <c r="AQ39" s="71" t="str">
        <f>_xlfn.CONCAT(C39,"/",D39)</f>
        <v>821/0</v>
      </c>
      <c r="AR39" s="71" t="str">
        <f>IF(D39=0,"DA CONTRATTO","SPOT")</f>
        <v>DA CONTRATTO</v>
      </c>
      <c r="AS39" s="72" t="str">
        <f>IF(AD39=5,"P","C")</f>
        <v>P</v>
      </c>
      <c r="AT39" s="71">
        <f>VLOOKUP(S39,'FILE PALLETTIZZAZIONI DB SRL'!B:H,5,FALSE)</f>
        <v>32</v>
      </c>
      <c r="AU39" s="71" t="str">
        <f>TEXT(N39,"gggg")</f>
        <v>sabato</v>
      </c>
      <c r="AV39" s="71">
        <f>WEEKNUM(N39)</f>
        <v>0</v>
      </c>
      <c r="AW39" s="71" t="str">
        <f>IF(AND(ISBLANK(N39),AS39="P"), "ATTENZIONE: Data produzione non pianificata", IF(AND(ISBLANK(N39),AS39="C"), "ATTENZIONE: Data arrivo merce acquisti non presente", IF(O39-N39&gt;=AP39, "Data sped. utile INSERITA", "ATTENZIONE: GG. resa non adeguati")))</f>
        <v>ATTENZIONE: Data produzione non pianificata</v>
      </c>
      <c r="AX39" s="71" t="str">
        <f ca="1">IF(ISBLANK(O39), "ATTENZIONE: Data non inserita", IF(O39&lt;=param!B2, "ATTENZIONE: Ritardo, Avvertire il cliente", "Data cons. rich. INSERITA"))</f>
        <v>Data cons. rich. INSERITA</v>
      </c>
      <c r="AY39" s="71" t="str">
        <f>IF(OR(ISBLANK(AP39),ISBLANK(AH39)), "ATTENZIONE: Vettore non associato", IF(V39="VETTORE", "Tipo spedizione: VETTORE", IF(V39="DESTINATARIO", "Tipo spedizione: DESTINATARIO", IF(ISBLANK(V39), "ATTENZIONE: Vettore vuoto", "?"))))</f>
        <v>Tipo spedizione: VETTORE</v>
      </c>
      <c r="AZ39" s="71" t="str">
        <f>IF(AM39=1, "Città OK", "ATTENZIONE: CAP non presente")</f>
        <v>Città OK</v>
      </c>
      <c r="BA39" s="73" t="s">
        <v>387</v>
      </c>
      <c r="BB39" s="73" t="str">
        <f ca="1">_xlfn.CONCAT(AW39," - ",AX39," - ",AY39," - ",AZ39," - ","Data: ",BA39)</f>
        <v>ATTENZIONE: Data produzione non pianificata - Data cons. rich. INSERITA - Tipo spedizione: VETTORE - Città OK - Data: ATTENZIONE: Giorno congruo presa vettore</v>
      </c>
    </row>
    <row r="40" spans="1:54" x14ac:dyDescent="0.25">
      <c r="A40" s="75" t="s">
        <v>380</v>
      </c>
      <c r="B40" s="76">
        <v>57</v>
      </c>
      <c r="C40" s="76">
        <v>822</v>
      </c>
      <c r="D40" s="76">
        <v>0</v>
      </c>
      <c r="E40" s="85">
        <v>45979</v>
      </c>
      <c r="F40" s="76">
        <v>363</v>
      </c>
      <c r="G40" s="75" t="s">
        <v>341</v>
      </c>
      <c r="H40" s="75" t="s">
        <v>597</v>
      </c>
      <c r="I40" s="75" t="s">
        <v>598</v>
      </c>
      <c r="J40" s="75" t="s">
        <v>599</v>
      </c>
      <c r="K40" s="68">
        <v>1000</v>
      </c>
      <c r="L40" s="86"/>
      <c r="M40" s="68">
        <v>1000</v>
      </c>
      <c r="N40" s="85"/>
      <c r="O40" s="85">
        <v>46037</v>
      </c>
      <c r="P40" s="75" t="s">
        <v>30</v>
      </c>
      <c r="Q40" s="76">
        <v>8</v>
      </c>
      <c r="R40" s="76">
        <v>10</v>
      </c>
      <c r="S40" s="75" t="s">
        <v>42</v>
      </c>
      <c r="T40" s="75" t="s">
        <v>381</v>
      </c>
      <c r="U40" s="75" t="s">
        <v>415</v>
      </c>
      <c r="V40" s="75" t="s">
        <v>416</v>
      </c>
      <c r="W40" s="75" t="s">
        <v>424</v>
      </c>
      <c r="X40" s="75" t="s">
        <v>385</v>
      </c>
      <c r="Y40" s="76">
        <v>5</v>
      </c>
      <c r="Z40" s="75" t="s">
        <v>419</v>
      </c>
      <c r="AA40" s="76">
        <v>870</v>
      </c>
      <c r="AB40" s="75" t="s">
        <v>420</v>
      </c>
      <c r="AC40" s="76">
        <v>235</v>
      </c>
      <c r="AD40" s="76">
        <v>5</v>
      </c>
      <c r="AE40" s="75" t="s">
        <v>383</v>
      </c>
      <c r="AF40" s="76">
        <v>1</v>
      </c>
      <c r="AG40" s="75" t="s">
        <v>418</v>
      </c>
      <c r="AH40" s="76">
        <v>1</v>
      </c>
      <c r="AJ40" s="77" t="s">
        <v>799</v>
      </c>
      <c r="AK40" s="87"/>
      <c r="AL40" s="70" t="s">
        <v>366</v>
      </c>
      <c r="AM40" s="70">
        <v>1</v>
      </c>
      <c r="AN40" s="78" t="s">
        <v>347</v>
      </c>
      <c r="AO40" s="78" t="s">
        <v>334</v>
      </c>
      <c r="AP40" s="79">
        <v>5</v>
      </c>
      <c r="AQ40" s="71" t="str">
        <f>_xlfn.CONCAT(C40,"/",D40)</f>
        <v>822/0</v>
      </c>
      <c r="AR40" s="71" t="str">
        <f>IF(D40=0,"DA CONTRATTO","SPOT")</f>
        <v>DA CONTRATTO</v>
      </c>
      <c r="AS40" s="72" t="str">
        <f>IF(AD40=5,"P","C")</f>
        <v>P</v>
      </c>
      <c r="AT40" s="71">
        <f>VLOOKUP(S40,'FILE PALLETTIZZAZIONI DB SRL'!B:H,5,FALSE)</f>
        <v>2</v>
      </c>
      <c r="AU40" s="71" t="str">
        <f>TEXT(N40,"gggg")</f>
        <v>sabato</v>
      </c>
      <c r="AV40" s="71">
        <f>WEEKNUM(N40)</f>
        <v>0</v>
      </c>
      <c r="AW40" s="71" t="str">
        <f>IF(AND(ISBLANK(N40),AS40="P"), "ATTENZIONE: Data produzione non pianificata", IF(AND(ISBLANK(N40),AS40="C"), "ATTENZIONE: Data arrivo merce acquisti non presente", IF(O40-N40&gt;=AP40, "Data sped. utile INSERITA", "ATTENZIONE: GG. resa non adeguati")))</f>
        <v>ATTENZIONE: Data produzione non pianificata</v>
      </c>
      <c r="AX40" s="71" t="str">
        <f ca="1">IF(ISBLANK(O40), "ATTENZIONE: Data non inserita", IF(O40&lt;=param!B2, "ATTENZIONE: Ritardo, Avvertire il cliente", "Data cons. rich. INSERITA"))</f>
        <v>Data cons. rich. INSERITA</v>
      </c>
      <c r="AY40" s="71" t="str">
        <f>IF(OR(ISBLANK(AP40),ISBLANK(AH40)), "ATTENZIONE: Vettore non associato", IF(V40="VETTORE", "Tipo spedizione: VETTORE", IF(V40="DESTINATARIO", "Tipo spedizione: DESTINATARIO", IF(ISBLANK(V40), "ATTENZIONE: Vettore vuoto", "?"))))</f>
        <v>Tipo spedizione: VETTORE</v>
      </c>
      <c r="AZ40" s="71" t="str">
        <f>IF(AM40=1, "Città OK", "ATTENZIONE: CAP non presente")</f>
        <v>Città OK</v>
      </c>
      <c r="BA40" s="73" t="s">
        <v>387</v>
      </c>
      <c r="BB40" s="73" t="str">
        <f ca="1">_xlfn.CONCAT(AW40," - ",AX40," - ",AY40," - ",AZ40," - ","Data: ",BA40)</f>
        <v>ATTENZIONE: Data produzione non pianificata - Data cons. rich. INSERITA - Tipo spedizione: VETTORE - Città OK - Data: ATTENZIONE: Giorno congruo presa vettore</v>
      </c>
    </row>
    <row r="41" spans="1:54" x14ac:dyDescent="0.25">
      <c r="A41" s="75" t="s">
        <v>380</v>
      </c>
      <c r="B41" s="76">
        <v>59</v>
      </c>
      <c r="C41" s="76">
        <v>825</v>
      </c>
      <c r="D41" s="76">
        <v>0</v>
      </c>
      <c r="E41" s="85">
        <v>45979</v>
      </c>
      <c r="F41" s="76">
        <v>363</v>
      </c>
      <c r="G41" s="75" t="s">
        <v>341</v>
      </c>
      <c r="H41" s="75" t="s">
        <v>640</v>
      </c>
      <c r="I41" s="75" t="s">
        <v>784</v>
      </c>
      <c r="J41" s="75" t="s">
        <v>785</v>
      </c>
      <c r="K41" s="68">
        <v>2560</v>
      </c>
      <c r="L41" s="86"/>
      <c r="M41" s="68">
        <v>2560</v>
      </c>
      <c r="N41" s="85"/>
      <c r="O41" s="85">
        <v>46057</v>
      </c>
      <c r="P41" s="75" t="s">
        <v>30</v>
      </c>
      <c r="Q41" s="76"/>
      <c r="R41" s="76"/>
      <c r="S41" s="75" t="s">
        <v>39</v>
      </c>
      <c r="T41" s="75" t="s">
        <v>381</v>
      </c>
      <c r="U41" s="75" t="s">
        <v>415</v>
      </c>
      <c r="V41" s="75" t="s">
        <v>416</v>
      </c>
      <c r="W41" s="75" t="s">
        <v>786</v>
      </c>
      <c r="X41" s="75" t="s">
        <v>787</v>
      </c>
      <c r="Y41" s="76">
        <v>5</v>
      </c>
      <c r="Z41" s="75" t="s">
        <v>425</v>
      </c>
      <c r="AA41" s="76">
        <v>208</v>
      </c>
      <c r="AB41" s="75" t="s">
        <v>426</v>
      </c>
      <c r="AC41" s="76">
        <v>120</v>
      </c>
      <c r="AD41" s="76">
        <v>5</v>
      </c>
      <c r="AE41" s="75" t="s">
        <v>383</v>
      </c>
      <c r="AF41" s="76">
        <v>1</v>
      </c>
      <c r="AG41" s="75" t="s">
        <v>418</v>
      </c>
      <c r="AH41" s="76">
        <v>1</v>
      </c>
      <c r="AJ41" s="77" t="s">
        <v>788</v>
      </c>
      <c r="AK41" s="87"/>
      <c r="AL41" s="70" t="s">
        <v>366</v>
      </c>
      <c r="AM41" s="70">
        <v>1</v>
      </c>
      <c r="AN41" s="78" t="s">
        <v>347</v>
      </c>
      <c r="AO41" s="78" t="s">
        <v>334</v>
      </c>
      <c r="AP41" s="79">
        <v>5</v>
      </c>
      <c r="AQ41" s="71" t="str">
        <f>_xlfn.CONCAT(C41,"/",D41)</f>
        <v>825/0</v>
      </c>
      <c r="AR41" s="71" t="str">
        <f>IF(D41=0,"DA CONTRATTO","SPOT")</f>
        <v>DA CONTRATTO</v>
      </c>
      <c r="AS41" s="72" t="str">
        <f>IF(AD41=5,"P","C")</f>
        <v>P</v>
      </c>
      <c r="AT41" s="71">
        <f>VLOOKUP(S41,'FILE PALLETTIZZAZIONI DB SRL'!B:H,5,FALSE)</f>
        <v>32</v>
      </c>
      <c r="AU41" s="71" t="str">
        <f>TEXT(N41,"gggg")</f>
        <v>sabato</v>
      </c>
      <c r="AV41" s="71">
        <f>WEEKNUM(N41)</f>
        <v>0</v>
      </c>
      <c r="AW41" s="71" t="str">
        <f>IF(AND(ISBLANK(N41),AS41="P"), "ATTENZIONE: Data produzione non pianificata", IF(AND(ISBLANK(N41),AS41="C"), "ATTENZIONE: Data arrivo merce acquisti non presente", IF(O41-N41&gt;=AP41, "Data sped. utile INSERITA", "ATTENZIONE: GG. resa non adeguati")))</f>
        <v>ATTENZIONE: Data produzione non pianificata</v>
      </c>
      <c r="AX41" s="71" t="str">
        <f ca="1">IF(ISBLANK(O41), "ATTENZIONE: Data non inserita", IF(O41&lt;=param!B2, "ATTENZIONE: Ritardo, Avvertire il cliente", "Data cons. rich. INSERITA"))</f>
        <v>Data cons. rich. INSERITA</v>
      </c>
      <c r="AY41" s="71" t="str">
        <f>IF(OR(ISBLANK(AP41),ISBLANK(AH41)), "ATTENZIONE: Vettore non associato", IF(V41="VETTORE", "Tipo spedizione: VETTORE", IF(V41="DESTINATARIO", "Tipo spedizione: DESTINATARIO", IF(ISBLANK(V41), "ATTENZIONE: Vettore vuoto", "?"))))</f>
        <v>Tipo spedizione: VETTORE</v>
      </c>
      <c r="AZ41" s="71" t="str">
        <f>IF(AM41=1, "Città OK", "ATTENZIONE: CAP non presente")</f>
        <v>Città OK</v>
      </c>
      <c r="BA41" s="73" t="s">
        <v>387</v>
      </c>
      <c r="BB41" s="73" t="str">
        <f ca="1">_xlfn.CONCAT(AW41," - ",AX41," - ",AY41," - ",AZ41," - ","Data: ",BA41)</f>
        <v>ATTENZIONE: Data produzione non pianificata - Data cons. rich. INSERITA - Tipo spedizione: VETTORE - Città OK - Data: ATTENZIONE: Giorno congruo presa vettore</v>
      </c>
    </row>
    <row r="42" spans="1:54" x14ac:dyDescent="0.25">
      <c r="A42" s="75" t="s">
        <v>380</v>
      </c>
      <c r="B42" s="76">
        <v>61</v>
      </c>
      <c r="C42" s="76">
        <v>828</v>
      </c>
      <c r="D42" s="76">
        <v>0</v>
      </c>
      <c r="E42" s="85">
        <v>45979</v>
      </c>
      <c r="F42" s="76">
        <v>363</v>
      </c>
      <c r="G42" s="75" t="s">
        <v>341</v>
      </c>
      <c r="H42" s="75" t="s">
        <v>640</v>
      </c>
      <c r="I42" s="75" t="s">
        <v>784</v>
      </c>
      <c r="J42" s="75" t="s">
        <v>785</v>
      </c>
      <c r="K42" s="68">
        <v>2560</v>
      </c>
      <c r="L42" s="86"/>
      <c r="M42" s="68">
        <v>2560</v>
      </c>
      <c r="N42" s="85"/>
      <c r="O42" s="85">
        <v>46078</v>
      </c>
      <c r="P42" s="75" t="s">
        <v>30</v>
      </c>
      <c r="Q42" s="76"/>
      <c r="R42" s="76"/>
      <c r="S42" s="75" t="s">
        <v>39</v>
      </c>
      <c r="T42" s="75" t="s">
        <v>381</v>
      </c>
      <c r="U42" s="75" t="s">
        <v>415</v>
      </c>
      <c r="V42" s="75" t="s">
        <v>416</v>
      </c>
      <c r="W42" s="75" t="s">
        <v>786</v>
      </c>
      <c r="X42" s="75" t="s">
        <v>787</v>
      </c>
      <c r="Y42" s="76">
        <v>5</v>
      </c>
      <c r="Z42" s="75" t="s">
        <v>425</v>
      </c>
      <c r="AA42" s="76">
        <v>208</v>
      </c>
      <c r="AB42" s="75" t="s">
        <v>426</v>
      </c>
      <c r="AC42" s="76">
        <v>120</v>
      </c>
      <c r="AD42" s="76">
        <v>5</v>
      </c>
      <c r="AE42" s="75" t="s">
        <v>383</v>
      </c>
      <c r="AF42" s="76">
        <v>1</v>
      </c>
      <c r="AG42" s="75" t="s">
        <v>418</v>
      </c>
      <c r="AH42" s="76">
        <v>1</v>
      </c>
      <c r="AJ42" s="77" t="s">
        <v>788</v>
      </c>
      <c r="AK42" s="87"/>
      <c r="AL42" s="70" t="s">
        <v>366</v>
      </c>
      <c r="AM42" s="70">
        <v>1</v>
      </c>
      <c r="AN42" s="78" t="s">
        <v>347</v>
      </c>
      <c r="AO42" s="78" t="s">
        <v>334</v>
      </c>
      <c r="AP42" s="79">
        <v>5</v>
      </c>
      <c r="AQ42" s="71" t="str">
        <f>_xlfn.CONCAT(C42,"/",D42)</f>
        <v>828/0</v>
      </c>
      <c r="AR42" s="71" t="str">
        <f>IF(D42=0,"DA CONTRATTO","SPOT")</f>
        <v>DA CONTRATTO</v>
      </c>
      <c r="AS42" s="72" t="str">
        <f>IF(AD42=5,"P","C")</f>
        <v>P</v>
      </c>
      <c r="AT42" s="71">
        <f>VLOOKUP(S42,'FILE PALLETTIZZAZIONI DB SRL'!B:H,5,FALSE)</f>
        <v>32</v>
      </c>
      <c r="AU42" s="71" t="str">
        <f>TEXT(N42,"gggg")</f>
        <v>sabato</v>
      </c>
      <c r="AV42" s="71">
        <f>WEEKNUM(N42)</f>
        <v>0</v>
      </c>
      <c r="AW42" s="71" t="str">
        <f>IF(AND(ISBLANK(N42),AS42="P"), "ATTENZIONE: Data produzione non pianificata", IF(AND(ISBLANK(N42),AS42="C"), "ATTENZIONE: Data arrivo merce acquisti non presente", IF(O42-N42&gt;=AP42, "Data sped. utile INSERITA", "ATTENZIONE: GG. resa non adeguati")))</f>
        <v>ATTENZIONE: Data produzione non pianificata</v>
      </c>
      <c r="AX42" s="71" t="str">
        <f ca="1">IF(ISBLANK(O42), "ATTENZIONE: Data non inserita", IF(O42&lt;=param!B2, "ATTENZIONE: Ritardo, Avvertire il cliente", "Data cons. rich. INSERITA"))</f>
        <v>Data cons. rich. INSERITA</v>
      </c>
      <c r="AY42" s="71" t="str">
        <f>IF(OR(ISBLANK(AP42),ISBLANK(AH42)), "ATTENZIONE: Vettore non associato", IF(V42="VETTORE", "Tipo spedizione: VETTORE", IF(V42="DESTINATARIO", "Tipo spedizione: DESTINATARIO", IF(ISBLANK(V42), "ATTENZIONE: Vettore vuoto", "?"))))</f>
        <v>Tipo spedizione: VETTORE</v>
      </c>
      <c r="AZ42" s="71" t="str">
        <f>IF(AM42=1, "Città OK", "ATTENZIONE: CAP non presente")</f>
        <v>Città OK</v>
      </c>
      <c r="BA42" s="73" t="s">
        <v>387</v>
      </c>
      <c r="BB42" s="73" t="str">
        <f ca="1">_xlfn.CONCAT(AW42," - ",AX42," - ",AY42," - ",AZ42," - ","Data: ",BA42)</f>
        <v>ATTENZIONE: Data produzione non pianificata - Data cons. rich. INSERITA - Tipo spedizione: VETTORE - Città OK - Data: ATTENZIONE: Giorno congruo presa vettore</v>
      </c>
    </row>
    <row r="43" spans="1:54" x14ac:dyDescent="0.25">
      <c r="A43" s="75" t="s">
        <v>380</v>
      </c>
      <c r="B43" s="76">
        <v>63</v>
      </c>
      <c r="C43" s="76">
        <v>829</v>
      </c>
      <c r="D43" s="76">
        <v>0</v>
      </c>
      <c r="E43" s="85">
        <v>45979</v>
      </c>
      <c r="F43" s="76">
        <v>363</v>
      </c>
      <c r="G43" s="75" t="s">
        <v>341</v>
      </c>
      <c r="H43" s="75" t="s">
        <v>640</v>
      </c>
      <c r="I43" s="75" t="s">
        <v>784</v>
      </c>
      <c r="J43" s="75" t="s">
        <v>785</v>
      </c>
      <c r="K43" s="68">
        <v>2560</v>
      </c>
      <c r="L43" s="86"/>
      <c r="M43" s="68">
        <v>2560</v>
      </c>
      <c r="N43" s="85"/>
      <c r="O43" s="85">
        <v>46092</v>
      </c>
      <c r="P43" s="75" t="s">
        <v>30</v>
      </c>
      <c r="Q43" s="76"/>
      <c r="R43" s="76"/>
      <c r="S43" s="75" t="s">
        <v>39</v>
      </c>
      <c r="T43" s="75" t="s">
        <v>381</v>
      </c>
      <c r="U43" s="75" t="s">
        <v>415</v>
      </c>
      <c r="V43" s="75" t="s">
        <v>416</v>
      </c>
      <c r="W43" s="75" t="s">
        <v>786</v>
      </c>
      <c r="X43" s="75" t="s">
        <v>787</v>
      </c>
      <c r="Y43" s="76">
        <v>5</v>
      </c>
      <c r="Z43" s="75" t="s">
        <v>425</v>
      </c>
      <c r="AA43" s="76">
        <v>208</v>
      </c>
      <c r="AB43" s="75" t="s">
        <v>426</v>
      </c>
      <c r="AC43" s="76">
        <v>120</v>
      </c>
      <c r="AD43" s="76">
        <v>5</v>
      </c>
      <c r="AE43" s="75" t="s">
        <v>383</v>
      </c>
      <c r="AF43" s="76">
        <v>1</v>
      </c>
      <c r="AG43" s="75" t="s">
        <v>418</v>
      </c>
      <c r="AH43" s="76">
        <v>1</v>
      </c>
      <c r="AJ43" s="77" t="s">
        <v>788</v>
      </c>
      <c r="AK43" s="87"/>
      <c r="AL43" s="70" t="s">
        <v>366</v>
      </c>
      <c r="AM43" s="70">
        <v>1</v>
      </c>
      <c r="AN43" s="78" t="s">
        <v>347</v>
      </c>
      <c r="AO43" s="78" t="s">
        <v>334</v>
      </c>
      <c r="AP43" s="79">
        <v>5</v>
      </c>
      <c r="AQ43" s="71" t="str">
        <f>_xlfn.CONCAT(C43,"/",D43)</f>
        <v>829/0</v>
      </c>
      <c r="AR43" s="71" t="str">
        <f>IF(D43=0,"DA CONTRATTO","SPOT")</f>
        <v>DA CONTRATTO</v>
      </c>
      <c r="AS43" s="72" t="str">
        <f>IF(AD43=5,"P","C")</f>
        <v>P</v>
      </c>
      <c r="AT43" s="71">
        <f>VLOOKUP(S43,'FILE PALLETTIZZAZIONI DB SRL'!B:H,5,FALSE)</f>
        <v>32</v>
      </c>
      <c r="AU43" s="71" t="str">
        <f>TEXT(N43,"gggg")</f>
        <v>sabato</v>
      </c>
      <c r="AV43" s="71">
        <f>WEEKNUM(N43)</f>
        <v>0</v>
      </c>
      <c r="AW43" s="71" t="str">
        <f>IF(AND(ISBLANK(N43),AS43="P"), "ATTENZIONE: Data produzione non pianificata", IF(AND(ISBLANK(N43),AS43="C"), "ATTENZIONE: Data arrivo merce acquisti non presente", IF(O43-N43&gt;=AP43, "Data sped. utile INSERITA", "ATTENZIONE: GG. resa non adeguati")))</f>
        <v>ATTENZIONE: Data produzione non pianificata</v>
      </c>
      <c r="AX43" s="71" t="str">
        <f ca="1">IF(ISBLANK(O43), "ATTENZIONE: Data non inserita", IF(O43&lt;=param!B2, "ATTENZIONE: Ritardo, Avvertire il cliente", "Data cons. rich. INSERITA"))</f>
        <v>Data cons. rich. INSERITA</v>
      </c>
      <c r="AY43" s="71" t="str">
        <f>IF(OR(ISBLANK(AP43),ISBLANK(AH43)), "ATTENZIONE: Vettore non associato", IF(V43="VETTORE", "Tipo spedizione: VETTORE", IF(V43="DESTINATARIO", "Tipo spedizione: DESTINATARIO", IF(ISBLANK(V43), "ATTENZIONE: Vettore vuoto", "?"))))</f>
        <v>Tipo spedizione: VETTORE</v>
      </c>
      <c r="AZ43" s="71" t="str">
        <f>IF(AM43=1, "Città OK", "ATTENZIONE: CAP non presente")</f>
        <v>Città OK</v>
      </c>
      <c r="BA43" s="73" t="s">
        <v>387</v>
      </c>
      <c r="BB43" s="73" t="str">
        <f ca="1">_xlfn.CONCAT(AW43," - ",AX43," - ",AY43," - ",AZ43," - ","Data: ",BA43)</f>
        <v>ATTENZIONE: Data produzione non pianificata - Data cons. rich. INSERITA - Tipo spedizione: VETTORE - Città OK - Data: ATTENZIONE: Giorno congruo presa vettore</v>
      </c>
    </row>
    <row r="44" spans="1:54" x14ac:dyDescent="0.25">
      <c r="A44" s="75" t="s">
        <v>380</v>
      </c>
      <c r="B44" s="76">
        <v>65</v>
      </c>
      <c r="C44" s="76">
        <v>551</v>
      </c>
      <c r="D44" s="76">
        <v>800</v>
      </c>
      <c r="E44" s="85">
        <v>45959</v>
      </c>
      <c r="F44" s="76">
        <v>373</v>
      </c>
      <c r="G44" s="75" t="s">
        <v>551</v>
      </c>
      <c r="H44" s="75" t="s">
        <v>552</v>
      </c>
      <c r="I44" s="75" t="s">
        <v>552</v>
      </c>
      <c r="J44" s="75" t="s">
        <v>553</v>
      </c>
      <c r="K44" s="68">
        <v>2.5</v>
      </c>
      <c r="L44" s="86"/>
      <c r="M44" s="68">
        <v>2.5</v>
      </c>
      <c r="N44" s="85"/>
      <c r="O44" s="85">
        <v>45991</v>
      </c>
      <c r="P44" s="75" t="s">
        <v>40</v>
      </c>
      <c r="Q44" s="76">
        <v>8</v>
      </c>
      <c r="R44" s="76">
        <v>10</v>
      </c>
      <c r="S44" s="75" t="s">
        <v>287</v>
      </c>
      <c r="T44" s="75" t="s">
        <v>381</v>
      </c>
      <c r="U44" s="75" t="s">
        <v>415</v>
      </c>
      <c r="V44" s="75" t="s">
        <v>416</v>
      </c>
      <c r="W44" s="75" t="s">
        <v>551</v>
      </c>
      <c r="X44" s="75" t="s">
        <v>554</v>
      </c>
      <c r="Y44" s="76">
        <v>5</v>
      </c>
      <c r="Z44" s="75" t="s">
        <v>419</v>
      </c>
      <c r="AA44" s="76">
        <v>870</v>
      </c>
      <c r="AB44" s="75" t="s">
        <v>420</v>
      </c>
      <c r="AC44" s="76">
        <v>235</v>
      </c>
      <c r="AD44" s="76">
        <v>5</v>
      </c>
      <c r="AE44" s="75" t="s">
        <v>383</v>
      </c>
      <c r="AF44" s="76">
        <v>1</v>
      </c>
      <c r="AG44" s="75" t="s">
        <v>418</v>
      </c>
      <c r="AH44" s="76">
        <v>5</v>
      </c>
      <c r="AJ44" s="77" t="s">
        <v>555</v>
      </c>
      <c r="AK44" s="87">
        <v>45979</v>
      </c>
      <c r="AL44" s="70" t="s">
        <v>367</v>
      </c>
      <c r="AM44" s="70">
        <v>1</v>
      </c>
      <c r="AN44" s="78"/>
      <c r="AO44" s="78"/>
      <c r="AP44" s="79"/>
      <c r="AQ44" s="71" t="str">
        <f>_xlfn.CONCAT(C44,"/",D44)</f>
        <v>551/800</v>
      </c>
      <c r="AR44" s="71" t="str">
        <f>IF(D44=0,"DA CONTRATTO","SPOT")</f>
        <v>SPOT</v>
      </c>
      <c r="AS44" s="72" t="str">
        <f>IF(AD44=5,"P","C")</f>
        <v>P</v>
      </c>
      <c r="AT44" s="71">
        <f>VLOOKUP(S44,'FILE PALLETTIZZAZIONI DB SRL'!B:H,5,FALSE)</f>
        <v>2</v>
      </c>
      <c r="AU44" s="71" t="str">
        <f>TEXT(N44,"gggg")</f>
        <v>sabato</v>
      </c>
      <c r="AV44" s="71">
        <f>WEEKNUM(N44)</f>
        <v>0</v>
      </c>
      <c r="AW44" s="71" t="str">
        <f>IF(AND(ISBLANK(N44),AS44="P"), "ATTENZIONE: Data produzione non pianificata", IF(AND(ISBLANK(N44),AS44="C"), "ATTENZIONE: Data arrivo merce acquisti non presente", IF(O44-N44&gt;=AP44, "Data sped. utile INSERITA", "ATTENZIONE: GG. resa non adeguati")))</f>
        <v>ATTENZIONE: Data produzione non pianificata</v>
      </c>
      <c r="AX44" s="71" t="str">
        <f ca="1">IF(ISBLANK(O44), "ATTENZIONE: Data non inserita", IF(O44&lt;=param!B2, "ATTENZIONE: Ritardo, Avvertire il cliente", "Data cons. rich. INSERITA"))</f>
        <v>Data cons. rich. INSERITA</v>
      </c>
      <c r="AY44" s="71" t="str">
        <f>IF(OR(ISBLANK(AP44),ISBLANK(AH44)), "ATTENZIONE: Vettore non associato", IF(V44="VETTORE", "Tipo spedizione: VETTORE", IF(V44="DESTINATARIO", "Tipo spedizione: DESTINATARIO", IF(ISBLANK(V44), "ATTENZIONE: Vettore vuoto", "?"))))</f>
        <v>ATTENZIONE: Vettore non associato</v>
      </c>
      <c r="AZ44" s="71" t="str">
        <f>IF(AM44=1, "Città OK", "ATTENZIONE: CAP non presente")</f>
        <v>Città OK</v>
      </c>
      <c r="BA44" s="73" t="s">
        <v>387</v>
      </c>
      <c r="BB44" s="73" t="str">
        <f ca="1">_xlfn.CONCAT(AW44," - ",AX44," - ",AY44," - ",AZ44," - ","Data: ",BA44)</f>
        <v>ATTENZIONE: Data produzione non pianificata - Data cons. rich. INSERITA - ATTENZIONE: Vettore non associato - Città OK - Data: ATTENZIONE: Giorno congruo presa vettore</v>
      </c>
    </row>
    <row r="45" spans="1:54" x14ac:dyDescent="0.25">
      <c r="A45" s="75" t="s">
        <v>380</v>
      </c>
      <c r="B45" s="76">
        <v>66</v>
      </c>
      <c r="C45" s="76">
        <v>564</v>
      </c>
      <c r="D45" s="76">
        <v>800</v>
      </c>
      <c r="E45" s="85">
        <v>45972</v>
      </c>
      <c r="F45" s="76">
        <v>394</v>
      </c>
      <c r="G45" s="75" t="s">
        <v>686</v>
      </c>
      <c r="H45" s="75" t="s">
        <v>687</v>
      </c>
      <c r="I45" s="75" t="s">
        <v>688</v>
      </c>
      <c r="J45" s="75" t="s">
        <v>689</v>
      </c>
      <c r="K45" s="68">
        <v>500</v>
      </c>
      <c r="L45" s="86"/>
      <c r="M45" s="68">
        <v>500</v>
      </c>
      <c r="N45" s="85"/>
      <c r="O45" s="85">
        <v>46001</v>
      </c>
      <c r="P45" s="75" t="s">
        <v>30</v>
      </c>
      <c r="Q45" s="76"/>
      <c r="R45" s="76"/>
      <c r="S45" s="75" t="s">
        <v>175</v>
      </c>
      <c r="T45" s="75" t="s">
        <v>381</v>
      </c>
      <c r="U45" s="75" t="s">
        <v>415</v>
      </c>
      <c r="V45" s="75" t="s">
        <v>416</v>
      </c>
      <c r="W45" s="75" t="s">
        <v>686</v>
      </c>
      <c r="X45" s="75" t="s">
        <v>690</v>
      </c>
      <c r="Y45" s="76">
        <v>4</v>
      </c>
      <c r="Z45" s="75" t="s">
        <v>691</v>
      </c>
      <c r="AA45" s="76">
        <v>830</v>
      </c>
      <c r="AB45" s="75" t="s">
        <v>549</v>
      </c>
      <c r="AC45" s="76">
        <v>200</v>
      </c>
      <c r="AD45" s="76">
        <v>4</v>
      </c>
      <c r="AE45" s="75" t="s">
        <v>384</v>
      </c>
      <c r="AF45" s="76">
        <v>7</v>
      </c>
      <c r="AG45" s="75" t="s">
        <v>482</v>
      </c>
      <c r="AH45" s="76">
        <v>1</v>
      </c>
      <c r="AJ45" s="77" t="s">
        <v>692</v>
      </c>
      <c r="AK45" s="87">
        <v>45982</v>
      </c>
      <c r="AL45" s="70" t="s">
        <v>366</v>
      </c>
      <c r="AM45" s="70">
        <v>1</v>
      </c>
      <c r="AN45" s="78" t="s">
        <v>347</v>
      </c>
      <c r="AO45" s="78" t="s">
        <v>334</v>
      </c>
      <c r="AP45" s="79">
        <v>5</v>
      </c>
      <c r="AQ45" s="71" t="str">
        <f>_xlfn.CONCAT(C45,"/",D45)</f>
        <v>564/800</v>
      </c>
      <c r="AR45" s="71" t="str">
        <f>IF(D45=0,"DA CONTRATTO","SPOT")</f>
        <v>SPOT</v>
      </c>
      <c r="AS45" s="72" t="str">
        <f>IF(AD45=5,"P","C")</f>
        <v>C</v>
      </c>
      <c r="AT45" s="71">
        <f>VLOOKUP(S45,'FILE PALLETTIZZAZIONI DB SRL'!B:H,5,FALSE)</f>
        <v>32</v>
      </c>
      <c r="AU45" s="71" t="str">
        <f>TEXT(N45,"gggg")</f>
        <v>sabato</v>
      </c>
      <c r="AV45" s="71">
        <f>WEEKNUM(N45)</f>
        <v>0</v>
      </c>
      <c r="AW45" s="71" t="str">
        <f>IF(AND(ISBLANK(N45),AS45="P"), "ATTENZIONE: Data produzione non pianificata", IF(AND(ISBLANK(N45),AS45="C"), "ATTENZIONE: Data arrivo merce acquisti non presente", IF(O45-N45&gt;=AP45, "Data sped. utile INSERITA", "ATTENZIONE: GG. resa non adeguati")))</f>
        <v>ATTENZIONE: Data arrivo merce acquisti non presente</v>
      </c>
      <c r="AX45" s="71" t="str">
        <f ca="1">IF(ISBLANK(O45), "ATTENZIONE: Data non inserita", IF(O45&lt;=param!B2, "ATTENZIONE: Ritardo, Avvertire il cliente", "Data cons. rich. INSERITA"))</f>
        <v>Data cons. rich. INSERITA</v>
      </c>
      <c r="AY45" s="71" t="str">
        <f>IF(OR(ISBLANK(AP45),ISBLANK(AH45)), "ATTENZIONE: Vettore non associato", IF(V45="VETTORE", "Tipo spedizione: VETTORE", IF(V45="DESTINATARIO", "Tipo spedizione: DESTINATARIO", IF(ISBLANK(V45), "ATTENZIONE: Vettore vuoto", "?"))))</f>
        <v>Tipo spedizione: VETTORE</v>
      </c>
      <c r="AZ45" s="71" t="str">
        <f>IF(AM45=1, "Città OK", "ATTENZIONE: CAP non presente")</f>
        <v>Città OK</v>
      </c>
      <c r="BA45" s="73" t="s">
        <v>387</v>
      </c>
      <c r="BB45" s="73" t="str">
        <f ca="1">_xlfn.CONCAT(AW45," - ",AX45," - ",AY45," - ",AZ45," - ","Data: ",BA45)</f>
        <v>ATTENZIONE: Data arrivo merce acquisti non presente - Data cons. rich. INSERITA - Tipo spedizione: VETTORE - Città OK - Data: ATTENZIONE: Giorno congruo presa vettore</v>
      </c>
    </row>
    <row r="46" spans="1:54" x14ac:dyDescent="0.25">
      <c r="A46" s="75" t="s">
        <v>380</v>
      </c>
      <c r="B46" s="76">
        <v>67</v>
      </c>
      <c r="C46" s="76">
        <v>568</v>
      </c>
      <c r="D46" s="76">
        <v>800</v>
      </c>
      <c r="E46" s="85">
        <v>45975</v>
      </c>
      <c r="F46" s="76">
        <v>394</v>
      </c>
      <c r="G46" s="75" t="s">
        <v>686</v>
      </c>
      <c r="H46" s="75" t="s">
        <v>558</v>
      </c>
      <c r="I46" s="75" t="s">
        <v>558</v>
      </c>
      <c r="J46" s="75" t="s">
        <v>709</v>
      </c>
      <c r="K46" s="68">
        <v>100</v>
      </c>
      <c r="L46" s="86"/>
      <c r="M46" s="68">
        <v>100</v>
      </c>
      <c r="N46" s="85"/>
      <c r="O46" s="85">
        <v>45989</v>
      </c>
      <c r="P46" s="75" t="s">
        <v>30</v>
      </c>
      <c r="Q46" s="76">
        <v>8</v>
      </c>
      <c r="R46" s="76">
        <v>10</v>
      </c>
      <c r="S46" s="75" t="s">
        <v>47</v>
      </c>
      <c r="T46" s="75" t="s">
        <v>381</v>
      </c>
      <c r="U46" s="75" t="s">
        <v>415</v>
      </c>
      <c r="V46" s="75" t="s">
        <v>416</v>
      </c>
      <c r="W46" s="75" t="s">
        <v>686</v>
      </c>
      <c r="X46" s="75" t="s">
        <v>690</v>
      </c>
      <c r="Y46" s="76">
        <v>5</v>
      </c>
      <c r="Z46" s="75" t="s">
        <v>419</v>
      </c>
      <c r="AA46" s="76">
        <v>870</v>
      </c>
      <c r="AB46" s="75" t="s">
        <v>420</v>
      </c>
      <c r="AC46" s="76">
        <v>235</v>
      </c>
      <c r="AD46" s="76">
        <v>5</v>
      </c>
      <c r="AE46" s="75" t="s">
        <v>383</v>
      </c>
      <c r="AF46" s="76">
        <v>1</v>
      </c>
      <c r="AG46" s="75" t="s">
        <v>418</v>
      </c>
      <c r="AH46" s="76">
        <v>1</v>
      </c>
      <c r="AJ46" s="77" t="s">
        <v>710</v>
      </c>
      <c r="AK46" s="87">
        <v>45989</v>
      </c>
      <c r="AL46" s="70" t="s">
        <v>366</v>
      </c>
      <c r="AM46" s="70">
        <v>1</v>
      </c>
      <c r="AN46" s="78" t="s">
        <v>347</v>
      </c>
      <c r="AO46" s="78" t="s">
        <v>334</v>
      </c>
      <c r="AP46" s="79">
        <v>5</v>
      </c>
      <c r="AQ46" s="71" t="str">
        <f>_xlfn.CONCAT(C46,"/",D46)</f>
        <v>568/800</v>
      </c>
      <c r="AR46" s="71" t="str">
        <f>IF(D46=0,"DA CONTRATTO","SPOT")</f>
        <v>SPOT</v>
      </c>
      <c r="AS46" s="72" t="str">
        <f>IF(AD46=5,"P","C")</f>
        <v>P</v>
      </c>
      <c r="AT46" s="71">
        <f>VLOOKUP(S46,'FILE PALLETTIZZAZIONI DB SRL'!B:H,5,FALSE)</f>
        <v>2</v>
      </c>
      <c r="AU46" s="71" t="str">
        <f>TEXT(N46,"gggg")</f>
        <v>sabato</v>
      </c>
      <c r="AV46" s="71">
        <f>WEEKNUM(N46)</f>
        <v>0</v>
      </c>
      <c r="AW46" s="71" t="str">
        <f>IF(AND(ISBLANK(N46),AS46="P"), "ATTENZIONE: Data produzione non pianificata", IF(AND(ISBLANK(N46),AS46="C"), "ATTENZIONE: Data arrivo merce acquisti non presente", IF(O46-N46&gt;=AP46, "Data sped. utile INSERITA", "ATTENZIONE: GG. resa non adeguati")))</f>
        <v>ATTENZIONE: Data produzione non pianificata</v>
      </c>
      <c r="AX46" s="71" t="str">
        <f ca="1">IF(ISBLANK(O46), "ATTENZIONE: Data non inserita", IF(O46&lt;=param!B2, "ATTENZIONE: Ritardo, Avvertire il cliente", "Data cons. rich. INSERITA"))</f>
        <v>Data cons. rich. INSERITA</v>
      </c>
      <c r="AY46" s="71" t="str">
        <f>IF(OR(ISBLANK(AP46),ISBLANK(AH46)), "ATTENZIONE: Vettore non associato", IF(V46="VETTORE", "Tipo spedizione: VETTORE", IF(V46="DESTINATARIO", "Tipo spedizione: DESTINATARIO", IF(ISBLANK(V46), "ATTENZIONE: Vettore vuoto", "?"))))</f>
        <v>Tipo spedizione: VETTORE</v>
      </c>
      <c r="AZ46" s="71" t="str">
        <f>IF(AM46=1, "Città OK", "ATTENZIONE: CAP non presente")</f>
        <v>Città OK</v>
      </c>
      <c r="BA46" s="73" t="s">
        <v>387</v>
      </c>
      <c r="BB46" s="73" t="str">
        <f ca="1">_xlfn.CONCAT(AW46," - ",AX46," - ",AY46," - ",AZ46," - ","Data: ",BA46)</f>
        <v>ATTENZIONE: Data produzione non pianificata - Data cons. rich. INSERITA - Tipo spedizione: VETTORE - Città OK - Data: ATTENZIONE: Giorno congruo presa vettore</v>
      </c>
    </row>
    <row r="47" spans="1:54" x14ac:dyDescent="0.25">
      <c r="A47" s="75" t="s">
        <v>380</v>
      </c>
      <c r="B47" s="76">
        <v>68</v>
      </c>
      <c r="C47" s="76">
        <v>569</v>
      </c>
      <c r="D47" s="76">
        <v>800</v>
      </c>
      <c r="E47" s="85">
        <v>45975</v>
      </c>
      <c r="F47" s="76">
        <v>394</v>
      </c>
      <c r="G47" s="75" t="s">
        <v>686</v>
      </c>
      <c r="H47" s="75" t="s">
        <v>711</v>
      </c>
      <c r="I47" s="75" t="s">
        <v>712</v>
      </c>
      <c r="J47" s="75" t="s">
        <v>713</v>
      </c>
      <c r="K47" s="68">
        <v>50</v>
      </c>
      <c r="L47" s="86"/>
      <c r="M47" s="68">
        <v>50</v>
      </c>
      <c r="N47" s="85"/>
      <c r="O47" s="85">
        <v>45989</v>
      </c>
      <c r="P47" s="75" t="s">
        <v>30</v>
      </c>
      <c r="Q47" s="76">
        <v>8</v>
      </c>
      <c r="R47" s="76">
        <v>10</v>
      </c>
      <c r="S47" s="75" t="s">
        <v>312</v>
      </c>
      <c r="T47" s="75" t="s">
        <v>381</v>
      </c>
      <c r="U47" s="75" t="s">
        <v>415</v>
      </c>
      <c r="V47" s="75" t="s">
        <v>416</v>
      </c>
      <c r="W47" s="75" t="s">
        <v>686</v>
      </c>
      <c r="X47" s="75" t="s">
        <v>690</v>
      </c>
      <c r="Y47" s="76">
        <v>6</v>
      </c>
      <c r="Z47" s="75" t="s">
        <v>427</v>
      </c>
      <c r="AA47" s="76">
        <v>800</v>
      </c>
      <c r="AB47" s="75" t="s">
        <v>714</v>
      </c>
      <c r="AC47" s="76">
        <v>30</v>
      </c>
      <c r="AD47" s="76">
        <v>6</v>
      </c>
      <c r="AE47" s="75" t="s">
        <v>382</v>
      </c>
      <c r="AF47" s="76">
        <v>1</v>
      </c>
      <c r="AG47" s="75" t="s">
        <v>418</v>
      </c>
      <c r="AH47" s="76">
        <v>1</v>
      </c>
      <c r="AJ47" s="77" t="s">
        <v>715</v>
      </c>
      <c r="AK47" s="87">
        <v>45989</v>
      </c>
      <c r="AL47" s="70" t="s">
        <v>366</v>
      </c>
      <c r="AM47" s="70">
        <v>1</v>
      </c>
      <c r="AN47" s="78" t="s">
        <v>347</v>
      </c>
      <c r="AO47" s="78" t="s">
        <v>334</v>
      </c>
      <c r="AP47" s="79">
        <v>5</v>
      </c>
      <c r="AQ47" s="71" t="str">
        <f>_xlfn.CONCAT(C47,"/",D47)</f>
        <v>569/800</v>
      </c>
      <c r="AR47" s="71" t="str">
        <f>IF(D47=0,"DA CONTRATTO","SPOT")</f>
        <v>SPOT</v>
      </c>
      <c r="AS47" s="72" t="str">
        <f>IF(AD47=5,"P","C")</f>
        <v>C</v>
      </c>
      <c r="AT47" s="71">
        <f>VLOOKUP(S47,'FILE PALLETTIZZAZIONI DB SRL'!B:H,5,FALSE)</f>
        <v>2</v>
      </c>
      <c r="AU47" s="71" t="str">
        <f>TEXT(N47,"gggg")</f>
        <v>sabato</v>
      </c>
      <c r="AV47" s="71">
        <f>WEEKNUM(N47)</f>
        <v>0</v>
      </c>
      <c r="AW47" s="71" t="str">
        <f>IF(AND(ISBLANK(N47),AS47="P"), "ATTENZIONE: Data produzione non pianificata", IF(AND(ISBLANK(N47),AS47="C"), "ATTENZIONE: Data arrivo merce acquisti non presente", IF(O47-N47&gt;=AP47, "Data sped. utile INSERITA", "ATTENZIONE: GG. resa non adeguati")))</f>
        <v>ATTENZIONE: Data arrivo merce acquisti non presente</v>
      </c>
      <c r="AX47" s="71" t="str">
        <f ca="1">IF(ISBLANK(O47), "ATTENZIONE: Data non inserita", IF(O47&lt;=param!B2, "ATTENZIONE: Ritardo, Avvertire il cliente", "Data cons. rich. INSERITA"))</f>
        <v>Data cons. rich. INSERITA</v>
      </c>
      <c r="AY47" s="71" t="str">
        <f>IF(OR(ISBLANK(AP47),ISBLANK(AH47)), "ATTENZIONE: Vettore non associato", IF(V47="VETTORE", "Tipo spedizione: VETTORE", IF(V47="DESTINATARIO", "Tipo spedizione: DESTINATARIO", IF(ISBLANK(V47), "ATTENZIONE: Vettore vuoto", "?"))))</f>
        <v>Tipo spedizione: VETTORE</v>
      </c>
      <c r="AZ47" s="71" t="str">
        <f>IF(AM47=1, "Città OK", "ATTENZIONE: CAP non presente")</f>
        <v>Città OK</v>
      </c>
      <c r="BA47" s="73" t="s">
        <v>387</v>
      </c>
      <c r="BB47" s="73" t="str">
        <f ca="1">_xlfn.CONCAT(AW47," - ",AX47," - ",AY47," - ",AZ47," - ","Data: ",BA47)</f>
        <v>ATTENZIONE: Data arrivo merce acquisti non presente - Data cons. rich. INSERITA - Tipo spedizione: VETTORE - Città OK - Data: ATTENZIONE: Giorno congruo presa vettore</v>
      </c>
    </row>
    <row r="48" spans="1:54" x14ac:dyDescent="0.25">
      <c r="A48" s="75" t="s">
        <v>380</v>
      </c>
      <c r="B48" s="76">
        <v>72</v>
      </c>
      <c r="C48" s="76">
        <v>790</v>
      </c>
      <c r="D48" s="76">
        <v>0</v>
      </c>
      <c r="E48" s="85">
        <v>45966</v>
      </c>
      <c r="F48" s="76">
        <v>419</v>
      </c>
      <c r="G48" s="75" t="s">
        <v>620</v>
      </c>
      <c r="H48" s="75" t="s">
        <v>621</v>
      </c>
      <c r="I48" s="75" t="s">
        <v>622</v>
      </c>
      <c r="J48" s="75" t="s">
        <v>623</v>
      </c>
      <c r="K48" s="68">
        <v>50</v>
      </c>
      <c r="L48" s="86"/>
      <c r="M48" s="68">
        <v>50</v>
      </c>
      <c r="N48" s="85"/>
      <c r="O48" s="85">
        <v>45987</v>
      </c>
      <c r="P48" s="75" t="s">
        <v>56</v>
      </c>
      <c r="Q48" s="76">
        <v>8</v>
      </c>
      <c r="R48" s="76">
        <v>10</v>
      </c>
      <c r="S48" s="75" t="s">
        <v>624</v>
      </c>
      <c r="T48" s="75" t="s">
        <v>381</v>
      </c>
      <c r="U48" s="75" t="s">
        <v>415</v>
      </c>
      <c r="V48" s="75" t="s">
        <v>416</v>
      </c>
      <c r="W48" s="75" t="s">
        <v>625</v>
      </c>
      <c r="X48" s="75" t="s">
        <v>626</v>
      </c>
      <c r="Y48" s="76">
        <v>6</v>
      </c>
      <c r="Z48" s="75" t="s">
        <v>447</v>
      </c>
      <c r="AA48" s="76">
        <v>635</v>
      </c>
      <c r="AB48" s="75" t="s">
        <v>562</v>
      </c>
      <c r="AC48" s="76">
        <v>215</v>
      </c>
      <c r="AD48" s="76">
        <v>6</v>
      </c>
      <c r="AE48" s="75" t="s">
        <v>382</v>
      </c>
      <c r="AF48" s="76">
        <v>1</v>
      </c>
      <c r="AG48" s="75" t="s">
        <v>418</v>
      </c>
      <c r="AH48" s="76">
        <v>35</v>
      </c>
      <c r="AJ48" s="77" t="s">
        <v>627</v>
      </c>
      <c r="AK48" s="87"/>
      <c r="AL48" s="70" t="s">
        <v>366</v>
      </c>
      <c r="AM48" s="70">
        <v>1</v>
      </c>
      <c r="AN48" s="78"/>
      <c r="AO48" s="78"/>
      <c r="AP48" s="79"/>
      <c r="AQ48" s="71" t="str">
        <f>_xlfn.CONCAT(C48,"/",D48)</f>
        <v>790/0</v>
      </c>
      <c r="AR48" s="71" t="str">
        <f>IF(D48=0,"DA CONTRATTO","SPOT")</f>
        <v>DA CONTRATTO</v>
      </c>
      <c r="AS48" s="72" t="str">
        <f>IF(AD48=5,"P","C")</f>
        <v>C</v>
      </c>
      <c r="AT48" s="71" t="e">
        <f>VLOOKUP(S48,'FILE PALLETTIZZAZIONI DB SRL'!B:H,5,FALSE)</f>
        <v>#N/A</v>
      </c>
      <c r="AU48" s="71" t="str">
        <f>TEXT(N48,"gggg")</f>
        <v>sabato</v>
      </c>
      <c r="AV48" s="71">
        <f>WEEKNUM(N48)</f>
        <v>0</v>
      </c>
      <c r="AW48" s="71" t="str">
        <f>IF(AND(ISBLANK(N48),AS48="P"), "ATTENZIONE: Data produzione non pianificata", IF(AND(ISBLANK(N48),AS48="C"), "ATTENZIONE: Data arrivo merce acquisti non presente", IF(O48-N48&gt;=AP48, "Data sped. utile INSERITA", "ATTENZIONE: GG. resa non adeguati")))</f>
        <v>ATTENZIONE: Data arrivo merce acquisti non presente</v>
      </c>
      <c r="AX48" s="71" t="str">
        <f ca="1">IF(ISBLANK(O48), "ATTENZIONE: Data non inserita", IF(O48&lt;=param!B2, "ATTENZIONE: Ritardo, Avvertire il cliente", "Data cons. rich. INSERITA"))</f>
        <v>Data cons. rich. INSERITA</v>
      </c>
      <c r="AY48" s="71" t="str">
        <f>IF(OR(ISBLANK(AP48),ISBLANK(AH48)), "ATTENZIONE: Vettore non associato", IF(V48="VETTORE", "Tipo spedizione: VETTORE", IF(V48="DESTINATARIO", "Tipo spedizione: DESTINATARIO", IF(ISBLANK(V48), "ATTENZIONE: Vettore vuoto", "?"))))</f>
        <v>ATTENZIONE: Vettore non associato</v>
      </c>
      <c r="AZ48" s="71" t="str">
        <f>IF(AM48=1, "Città OK", "ATTENZIONE: CAP non presente")</f>
        <v>Città OK</v>
      </c>
      <c r="BA48" s="73" t="s">
        <v>387</v>
      </c>
      <c r="BB48" s="73" t="str">
        <f ca="1">_xlfn.CONCAT(AW48," - ",AX48," - ",AY48," - ",AZ48," - ","Data: ",BA48)</f>
        <v>ATTENZIONE: Data arrivo merce acquisti non presente - Data cons. rich. INSERITA - ATTENZIONE: Vettore non associato - Città OK - Data: ATTENZIONE: Giorno congruo presa vettore</v>
      </c>
    </row>
    <row r="49" spans="1:54" x14ac:dyDescent="0.25">
      <c r="A49" s="75" t="s">
        <v>380</v>
      </c>
      <c r="B49" s="76">
        <v>73</v>
      </c>
      <c r="C49" s="76">
        <v>787</v>
      </c>
      <c r="D49" s="76">
        <v>0</v>
      </c>
      <c r="E49" s="85">
        <v>45965</v>
      </c>
      <c r="F49" s="76">
        <v>426</v>
      </c>
      <c r="G49" s="75" t="s">
        <v>607</v>
      </c>
      <c r="H49" s="75" t="s">
        <v>608</v>
      </c>
      <c r="I49" s="75" t="s">
        <v>609</v>
      </c>
      <c r="J49" s="75" t="s">
        <v>610</v>
      </c>
      <c r="K49" s="68">
        <v>500</v>
      </c>
      <c r="L49" s="86"/>
      <c r="M49" s="68">
        <v>500</v>
      </c>
      <c r="N49" s="85"/>
      <c r="O49" s="85">
        <v>46000</v>
      </c>
      <c r="P49" s="75" t="s">
        <v>30</v>
      </c>
      <c r="Q49" s="76">
        <v>8</v>
      </c>
      <c r="R49" s="76">
        <v>10</v>
      </c>
      <c r="S49" s="75" t="s">
        <v>49</v>
      </c>
      <c r="T49" s="75" t="s">
        <v>381</v>
      </c>
      <c r="U49" s="75" t="s">
        <v>415</v>
      </c>
      <c r="V49" s="75" t="s">
        <v>416</v>
      </c>
      <c r="W49" s="75" t="s">
        <v>607</v>
      </c>
      <c r="X49" s="75" t="s">
        <v>611</v>
      </c>
      <c r="Y49" s="76">
        <v>5</v>
      </c>
      <c r="Z49" s="75" t="s">
        <v>419</v>
      </c>
      <c r="AA49" s="76">
        <v>230</v>
      </c>
      <c r="AB49" s="75" t="s">
        <v>422</v>
      </c>
      <c r="AC49" s="76">
        <v>235</v>
      </c>
      <c r="AD49" s="76">
        <v>5</v>
      </c>
      <c r="AE49" s="75" t="s">
        <v>383</v>
      </c>
      <c r="AF49" s="76">
        <v>1</v>
      </c>
      <c r="AG49" s="75" t="s">
        <v>418</v>
      </c>
      <c r="AH49" s="76">
        <v>1</v>
      </c>
      <c r="AJ49" s="77" t="s">
        <v>612</v>
      </c>
      <c r="AK49" s="87"/>
      <c r="AL49" s="70" t="s">
        <v>366</v>
      </c>
      <c r="AM49" s="70">
        <v>1</v>
      </c>
      <c r="AN49" s="78" t="s">
        <v>347</v>
      </c>
      <c r="AO49" s="78" t="s">
        <v>334</v>
      </c>
      <c r="AP49" s="79">
        <v>5</v>
      </c>
      <c r="AQ49" s="71" t="str">
        <f>_xlfn.CONCAT(C49,"/",D49)</f>
        <v>787/0</v>
      </c>
      <c r="AR49" s="71" t="str">
        <f>IF(D49=0,"DA CONTRATTO","SPOT")</f>
        <v>DA CONTRATTO</v>
      </c>
      <c r="AS49" s="72" t="str">
        <f>IF(AD49=5,"P","C")</f>
        <v>P</v>
      </c>
      <c r="AT49" s="71">
        <f>VLOOKUP(S49,'FILE PALLETTIZZAZIONI DB SRL'!B:H,5,FALSE)</f>
        <v>15</v>
      </c>
      <c r="AU49" s="71" t="str">
        <f>TEXT(N49,"gggg")</f>
        <v>sabato</v>
      </c>
      <c r="AV49" s="71">
        <f>WEEKNUM(N49)</f>
        <v>0</v>
      </c>
      <c r="AW49" s="71" t="str">
        <f>IF(AND(ISBLANK(N49),AS49="P"), "ATTENZIONE: Data produzione non pianificata", IF(AND(ISBLANK(N49),AS49="C"), "ATTENZIONE: Data arrivo merce acquisti non presente", IF(O49-N49&gt;=AP49, "Data sped. utile INSERITA", "ATTENZIONE: GG. resa non adeguati")))</f>
        <v>ATTENZIONE: Data produzione non pianificata</v>
      </c>
      <c r="AX49" s="71" t="str">
        <f ca="1">IF(ISBLANK(O49), "ATTENZIONE: Data non inserita", IF(O49&lt;=param!B2, "ATTENZIONE: Ritardo, Avvertire il cliente", "Data cons. rich. INSERITA"))</f>
        <v>Data cons. rich. INSERITA</v>
      </c>
      <c r="AY49" s="71" t="str">
        <f>IF(OR(ISBLANK(AP49),ISBLANK(AH49)), "ATTENZIONE: Vettore non associato", IF(V49="VETTORE", "Tipo spedizione: VETTORE", IF(V49="DESTINATARIO", "Tipo spedizione: DESTINATARIO", IF(ISBLANK(V49), "ATTENZIONE: Vettore vuoto", "?"))))</f>
        <v>Tipo spedizione: VETTORE</v>
      </c>
      <c r="AZ49" s="71" t="str">
        <f>IF(AM49=1, "Città OK", "ATTENZIONE: CAP non presente")</f>
        <v>Città OK</v>
      </c>
      <c r="BA49" s="73" t="s">
        <v>387</v>
      </c>
      <c r="BB49" s="73" t="str">
        <f ca="1">_xlfn.CONCAT(AW49," - ",AX49," - ",AY49," - ",AZ49," - ","Data: ",BA49)</f>
        <v>ATTENZIONE: Data produzione non pianificata - Data cons. rich. INSERITA - Tipo spedizione: VETTORE - Città OK - Data: ATTENZIONE: Giorno congruo presa vettore</v>
      </c>
    </row>
    <row r="50" spans="1:54" x14ac:dyDescent="0.25">
      <c r="A50" s="75" t="s">
        <v>380</v>
      </c>
      <c r="B50" s="76">
        <v>74</v>
      </c>
      <c r="C50" s="76">
        <v>787</v>
      </c>
      <c r="D50" s="76">
        <v>0</v>
      </c>
      <c r="E50" s="85">
        <v>45965</v>
      </c>
      <c r="F50" s="76">
        <v>426</v>
      </c>
      <c r="G50" s="75" t="s">
        <v>607</v>
      </c>
      <c r="H50" s="75" t="s">
        <v>613</v>
      </c>
      <c r="I50" s="75" t="s">
        <v>614</v>
      </c>
      <c r="J50" s="75" t="s">
        <v>610</v>
      </c>
      <c r="K50" s="68">
        <v>0.5</v>
      </c>
      <c r="L50" s="86"/>
      <c r="M50" s="68">
        <v>0.5</v>
      </c>
      <c r="N50" s="85"/>
      <c r="O50" s="85">
        <v>46000</v>
      </c>
      <c r="P50" s="75" t="s">
        <v>30</v>
      </c>
      <c r="Q50" s="76">
        <v>8</v>
      </c>
      <c r="R50" s="76">
        <v>10</v>
      </c>
      <c r="S50" s="75" t="s">
        <v>615</v>
      </c>
      <c r="T50" s="75" t="s">
        <v>381</v>
      </c>
      <c r="U50" s="75" t="s">
        <v>415</v>
      </c>
      <c r="V50" s="75" t="s">
        <v>416</v>
      </c>
      <c r="W50" s="75" t="s">
        <v>607</v>
      </c>
      <c r="X50" s="75" t="s">
        <v>611</v>
      </c>
      <c r="Y50" s="76">
        <v>5</v>
      </c>
      <c r="Z50" s="75" t="s">
        <v>419</v>
      </c>
      <c r="AA50" s="76">
        <v>230</v>
      </c>
      <c r="AB50" s="75" t="s">
        <v>422</v>
      </c>
      <c r="AC50" s="76">
        <v>235</v>
      </c>
      <c r="AD50" s="76">
        <v>5</v>
      </c>
      <c r="AE50" s="75" t="s">
        <v>383</v>
      </c>
      <c r="AF50" s="76">
        <v>1</v>
      </c>
      <c r="AG50" s="75" t="s">
        <v>418</v>
      </c>
      <c r="AH50" s="76">
        <v>1</v>
      </c>
      <c r="AJ50" s="77" t="s">
        <v>612</v>
      </c>
      <c r="AK50" s="87"/>
      <c r="AL50" s="70" t="s">
        <v>366</v>
      </c>
      <c r="AM50" s="70">
        <v>1</v>
      </c>
      <c r="AN50" s="78" t="s">
        <v>347</v>
      </c>
      <c r="AO50" s="78" t="s">
        <v>334</v>
      </c>
      <c r="AP50" s="79">
        <v>5</v>
      </c>
      <c r="AQ50" s="71" t="str">
        <f>_xlfn.CONCAT(C50,"/",D50)</f>
        <v>787/0</v>
      </c>
      <c r="AR50" s="71" t="str">
        <f>IF(D50=0,"DA CONTRATTO","SPOT")</f>
        <v>DA CONTRATTO</v>
      </c>
      <c r="AS50" s="72" t="str">
        <f>IF(AD50=5,"P","C")</f>
        <v>P</v>
      </c>
      <c r="AT50" s="71" t="e">
        <f>VLOOKUP(S50,'FILE PALLETTIZZAZIONI DB SRL'!B:H,5,FALSE)</f>
        <v>#N/A</v>
      </c>
      <c r="AU50" s="71" t="str">
        <f>TEXT(N50,"gggg")</f>
        <v>sabato</v>
      </c>
      <c r="AV50" s="71">
        <f>WEEKNUM(N50)</f>
        <v>0</v>
      </c>
      <c r="AW50" s="71" t="str">
        <f>IF(AND(ISBLANK(N50),AS50="P"), "ATTENZIONE: Data produzione non pianificata", IF(AND(ISBLANK(N50),AS50="C"), "ATTENZIONE: Data arrivo merce acquisti non presente", IF(O50-N50&gt;=AP50, "Data sped. utile INSERITA", "ATTENZIONE: GG. resa non adeguati")))</f>
        <v>ATTENZIONE: Data produzione non pianificata</v>
      </c>
      <c r="AX50" s="71" t="str">
        <f ca="1">IF(ISBLANK(O50), "ATTENZIONE: Data non inserita", IF(O50&lt;=param!B2, "ATTENZIONE: Ritardo, Avvertire il cliente", "Data cons. rich. INSERITA"))</f>
        <v>Data cons. rich. INSERITA</v>
      </c>
      <c r="AY50" s="71" t="str">
        <f>IF(OR(ISBLANK(AP50),ISBLANK(AH50)), "ATTENZIONE: Vettore non associato", IF(V50="VETTORE", "Tipo spedizione: VETTORE", IF(V50="DESTINATARIO", "Tipo spedizione: DESTINATARIO", IF(ISBLANK(V50), "ATTENZIONE: Vettore vuoto", "?"))))</f>
        <v>Tipo spedizione: VETTORE</v>
      </c>
      <c r="AZ50" s="71" t="str">
        <f>IF(AM50=1, "Città OK", "ATTENZIONE: CAP non presente")</f>
        <v>Città OK</v>
      </c>
      <c r="BA50" s="73" t="s">
        <v>387</v>
      </c>
      <c r="BB50" s="73" t="str">
        <f ca="1">_xlfn.CONCAT(AW50," - ",AX50," - ",AY50," - ",AZ50," - ","Data: ",BA50)</f>
        <v>ATTENZIONE: Data produzione non pianificata - Data cons. rich. INSERITA - Tipo spedizione: VETTORE - Città OK - Data: ATTENZIONE: Giorno congruo presa vettore</v>
      </c>
    </row>
    <row r="51" spans="1:54" x14ac:dyDescent="0.25">
      <c r="A51" s="75" t="s">
        <v>380</v>
      </c>
      <c r="B51" s="76">
        <v>75</v>
      </c>
      <c r="C51" s="76">
        <v>806</v>
      </c>
      <c r="D51" s="76">
        <v>0</v>
      </c>
      <c r="E51" s="85">
        <v>45975</v>
      </c>
      <c r="F51" s="76">
        <v>466</v>
      </c>
      <c r="G51" s="75" t="s">
        <v>725</v>
      </c>
      <c r="H51" s="75" t="s">
        <v>726</v>
      </c>
      <c r="I51" s="75" t="s">
        <v>727</v>
      </c>
      <c r="J51" s="75" t="s">
        <v>728</v>
      </c>
      <c r="K51" s="68">
        <v>12400</v>
      </c>
      <c r="L51" s="86"/>
      <c r="M51" s="68">
        <v>12400</v>
      </c>
      <c r="N51" s="85"/>
      <c r="O51" s="85">
        <v>46009</v>
      </c>
      <c r="P51" s="75" t="s">
        <v>30</v>
      </c>
      <c r="Q51" s="76">
        <v>8</v>
      </c>
      <c r="R51" s="76">
        <v>10</v>
      </c>
      <c r="S51" s="75" t="s">
        <v>51</v>
      </c>
      <c r="T51" s="75" t="s">
        <v>381</v>
      </c>
      <c r="U51" s="75" t="s">
        <v>415</v>
      </c>
      <c r="V51" s="75" t="s">
        <v>416</v>
      </c>
      <c r="W51" s="75" t="s">
        <v>729</v>
      </c>
      <c r="X51" s="75" t="s">
        <v>730</v>
      </c>
      <c r="Y51" s="76">
        <v>5</v>
      </c>
      <c r="Z51" s="75" t="s">
        <v>419</v>
      </c>
      <c r="AA51" s="76">
        <v>213</v>
      </c>
      <c r="AB51" s="75" t="s">
        <v>33</v>
      </c>
      <c r="AC51" s="76">
        <v>235</v>
      </c>
      <c r="AD51" s="76">
        <v>5</v>
      </c>
      <c r="AE51" s="75" t="s">
        <v>383</v>
      </c>
      <c r="AF51" s="76">
        <v>1</v>
      </c>
      <c r="AG51" s="75" t="s">
        <v>418</v>
      </c>
      <c r="AH51" s="76">
        <v>1</v>
      </c>
      <c r="AJ51" s="77" t="s">
        <v>731</v>
      </c>
      <c r="AK51" s="87"/>
      <c r="AL51" s="70" t="s">
        <v>366</v>
      </c>
      <c r="AM51" s="70">
        <v>1</v>
      </c>
      <c r="AN51" s="78" t="s">
        <v>347</v>
      </c>
      <c r="AO51" s="78" t="s">
        <v>334</v>
      </c>
      <c r="AP51" s="79">
        <v>5</v>
      </c>
      <c r="AQ51" s="71" t="str">
        <f>_xlfn.CONCAT(C51,"/",D51)</f>
        <v>806/0</v>
      </c>
      <c r="AR51" s="71" t="str">
        <f>IF(D51=0,"DA CONTRATTO","SPOT")</f>
        <v>DA CONTRATTO</v>
      </c>
      <c r="AS51" s="72" t="str">
        <f>IF(AD51=5,"P","C")</f>
        <v>P</v>
      </c>
      <c r="AT51" s="71">
        <f>VLOOKUP(S51,'FILE PALLETTIZZAZIONI DB SRL'!B:H,5,FALSE)</f>
        <v>2</v>
      </c>
      <c r="AU51" s="71" t="str">
        <f>TEXT(N51,"gggg")</f>
        <v>sabato</v>
      </c>
      <c r="AV51" s="71">
        <f>WEEKNUM(N51)</f>
        <v>0</v>
      </c>
      <c r="AW51" s="71" t="str">
        <f>IF(AND(ISBLANK(N51),AS51="P"), "ATTENZIONE: Data produzione non pianificata", IF(AND(ISBLANK(N51),AS51="C"), "ATTENZIONE: Data arrivo merce acquisti non presente", IF(O51-N51&gt;=AP51, "Data sped. utile INSERITA", "ATTENZIONE: GG. resa non adeguati")))</f>
        <v>ATTENZIONE: Data produzione non pianificata</v>
      </c>
      <c r="AX51" s="71" t="str">
        <f ca="1">IF(ISBLANK(O51), "ATTENZIONE: Data non inserita", IF(O51&lt;=param!B2, "ATTENZIONE: Ritardo, Avvertire il cliente", "Data cons. rich. INSERITA"))</f>
        <v>Data cons. rich. INSERITA</v>
      </c>
      <c r="AY51" s="71" t="str">
        <f>IF(OR(ISBLANK(AP51),ISBLANK(AH51)), "ATTENZIONE: Vettore non associato", IF(V51="VETTORE", "Tipo spedizione: VETTORE", IF(V51="DESTINATARIO", "Tipo spedizione: DESTINATARIO", IF(ISBLANK(V51), "ATTENZIONE: Vettore vuoto", "?"))))</f>
        <v>Tipo spedizione: VETTORE</v>
      </c>
      <c r="AZ51" s="71" t="str">
        <f>IF(AM51=1, "Città OK", "ATTENZIONE: CAP non presente")</f>
        <v>Città OK</v>
      </c>
      <c r="BA51" s="73" t="s">
        <v>387</v>
      </c>
      <c r="BB51" s="73" t="str">
        <f ca="1">_xlfn.CONCAT(AW51," - ",AX51," - ",AY51," - ",AZ51," - ","Data: ",BA51)</f>
        <v>ATTENZIONE: Data produzione non pianificata - Data cons. rich. INSERITA - Tipo spedizione: VETTORE - Città OK - Data: ATTENZIONE: Giorno congruo presa vettore</v>
      </c>
    </row>
    <row r="52" spans="1:54" x14ac:dyDescent="0.25">
      <c r="A52" s="75" t="s">
        <v>380</v>
      </c>
      <c r="B52" s="76">
        <v>76</v>
      </c>
      <c r="C52" s="76">
        <v>806</v>
      </c>
      <c r="D52" s="76">
        <v>0</v>
      </c>
      <c r="E52" s="85">
        <v>45975</v>
      </c>
      <c r="F52" s="76">
        <v>466</v>
      </c>
      <c r="G52" s="75" t="s">
        <v>725</v>
      </c>
      <c r="H52" s="75" t="s">
        <v>732</v>
      </c>
      <c r="I52" s="75" t="s">
        <v>733</v>
      </c>
      <c r="J52" s="75" t="s">
        <v>734</v>
      </c>
      <c r="K52" s="68">
        <v>1</v>
      </c>
      <c r="L52" s="86"/>
      <c r="M52" s="68">
        <v>1</v>
      </c>
      <c r="N52" s="85"/>
      <c r="O52" s="85">
        <v>46009</v>
      </c>
      <c r="P52" s="75" t="s">
        <v>30</v>
      </c>
      <c r="Q52" s="76">
        <v>8</v>
      </c>
      <c r="R52" s="76">
        <v>10</v>
      </c>
      <c r="S52" s="75" t="s">
        <v>284</v>
      </c>
      <c r="T52" s="75" t="s">
        <v>381</v>
      </c>
      <c r="U52" s="75" t="s">
        <v>415</v>
      </c>
      <c r="V52" s="75" t="s">
        <v>416</v>
      </c>
      <c r="W52" s="75" t="s">
        <v>729</v>
      </c>
      <c r="X52" s="75" t="s">
        <v>730</v>
      </c>
      <c r="Y52" s="76">
        <v>5</v>
      </c>
      <c r="Z52" s="75" t="s">
        <v>419</v>
      </c>
      <c r="AA52" s="76">
        <v>213</v>
      </c>
      <c r="AB52" s="75" t="s">
        <v>33</v>
      </c>
      <c r="AC52" s="76">
        <v>235</v>
      </c>
      <c r="AD52" s="76">
        <v>5</v>
      </c>
      <c r="AE52" s="75" t="s">
        <v>383</v>
      </c>
      <c r="AF52" s="76">
        <v>1</v>
      </c>
      <c r="AG52" s="75" t="s">
        <v>418</v>
      </c>
      <c r="AH52" s="76">
        <v>1</v>
      </c>
      <c r="AJ52" s="77" t="s">
        <v>731</v>
      </c>
      <c r="AK52" s="87"/>
      <c r="AL52" s="70" t="s">
        <v>366</v>
      </c>
      <c r="AM52" s="70">
        <v>1</v>
      </c>
      <c r="AN52" s="78" t="s">
        <v>347</v>
      </c>
      <c r="AO52" s="78" t="s">
        <v>334</v>
      </c>
      <c r="AP52" s="79">
        <v>5</v>
      </c>
      <c r="AQ52" s="71" t="str">
        <f>_xlfn.CONCAT(C52,"/",D52)</f>
        <v>806/0</v>
      </c>
      <c r="AR52" s="71" t="str">
        <f>IF(D52=0,"DA CONTRATTO","SPOT")</f>
        <v>DA CONTRATTO</v>
      </c>
      <c r="AS52" s="72" t="str">
        <f>IF(AD52=5,"P","C")</f>
        <v>P</v>
      </c>
      <c r="AT52" s="71">
        <f>VLOOKUP(S52,'FILE PALLETTIZZAZIONI DB SRL'!B:H,5,FALSE)</f>
        <v>5</v>
      </c>
      <c r="AU52" s="71" t="str">
        <f>TEXT(N52,"gggg")</f>
        <v>sabato</v>
      </c>
      <c r="AV52" s="71">
        <f>WEEKNUM(N52)</f>
        <v>0</v>
      </c>
      <c r="AW52" s="71" t="str">
        <f>IF(AND(ISBLANK(N52),AS52="P"), "ATTENZIONE: Data produzione non pianificata", IF(AND(ISBLANK(N52),AS52="C"), "ATTENZIONE: Data arrivo merce acquisti non presente", IF(O52-N52&gt;=AP52, "Data sped. utile INSERITA", "ATTENZIONE: GG. resa non adeguati")))</f>
        <v>ATTENZIONE: Data produzione non pianificata</v>
      </c>
      <c r="AX52" s="71" t="str">
        <f ca="1">IF(ISBLANK(O52), "ATTENZIONE: Data non inserita", IF(O52&lt;=param!B2, "ATTENZIONE: Ritardo, Avvertire il cliente", "Data cons. rich. INSERITA"))</f>
        <v>Data cons. rich. INSERITA</v>
      </c>
      <c r="AY52" s="71" t="str">
        <f>IF(OR(ISBLANK(AP52),ISBLANK(AH52)), "ATTENZIONE: Vettore non associato", IF(V52="VETTORE", "Tipo spedizione: VETTORE", IF(V52="DESTINATARIO", "Tipo spedizione: DESTINATARIO", IF(ISBLANK(V52), "ATTENZIONE: Vettore vuoto", "?"))))</f>
        <v>Tipo spedizione: VETTORE</v>
      </c>
      <c r="AZ52" s="71" t="str">
        <f>IF(AM52=1, "Città OK", "ATTENZIONE: CAP non presente")</f>
        <v>Città OK</v>
      </c>
      <c r="BA52" s="73" t="s">
        <v>387</v>
      </c>
      <c r="BB52" s="73" t="str">
        <f ca="1">_xlfn.CONCAT(AW52," - ",AX52," - ",AY52," - ",AZ52," - ","Data: ",BA52)</f>
        <v>ATTENZIONE: Data produzione non pianificata - Data cons. rich. INSERITA - Tipo spedizione: VETTORE - Città OK - Data: ATTENZIONE: Giorno congruo presa vettore</v>
      </c>
    </row>
    <row r="53" spans="1:54" x14ac:dyDescent="0.25">
      <c r="A53" s="75" t="s">
        <v>380</v>
      </c>
      <c r="B53" s="76">
        <v>77</v>
      </c>
      <c r="C53" s="76">
        <v>566</v>
      </c>
      <c r="D53" s="76">
        <v>800</v>
      </c>
      <c r="E53" s="85">
        <v>45973</v>
      </c>
      <c r="F53" s="76">
        <v>475</v>
      </c>
      <c r="G53" s="75" t="s">
        <v>701</v>
      </c>
      <c r="H53" s="75" t="s">
        <v>702</v>
      </c>
      <c r="I53" s="75" t="s">
        <v>703</v>
      </c>
      <c r="J53" s="75" t="s">
        <v>704</v>
      </c>
      <c r="K53" s="68">
        <v>400</v>
      </c>
      <c r="L53" s="86"/>
      <c r="M53" s="68">
        <v>400</v>
      </c>
      <c r="N53" s="85"/>
      <c r="O53" s="85">
        <v>45989</v>
      </c>
      <c r="P53" s="75" t="s">
        <v>59</v>
      </c>
      <c r="Q53" s="76">
        <v>8</v>
      </c>
      <c r="R53" s="76">
        <v>10</v>
      </c>
      <c r="S53" s="75" t="s">
        <v>63</v>
      </c>
      <c r="T53" s="75" t="s">
        <v>381</v>
      </c>
      <c r="U53" s="75" t="s">
        <v>415</v>
      </c>
      <c r="V53" s="75" t="s">
        <v>416</v>
      </c>
      <c r="W53" s="75" t="s">
        <v>701</v>
      </c>
      <c r="X53" s="75" t="s">
        <v>705</v>
      </c>
      <c r="Y53" s="76">
        <v>5</v>
      </c>
      <c r="Z53" s="75" t="s">
        <v>419</v>
      </c>
      <c r="AA53" s="76">
        <v>309</v>
      </c>
      <c r="AB53" s="75" t="s">
        <v>706</v>
      </c>
      <c r="AC53" s="76">
        <v>235</v>
      </c>
      <c r="AD53" s="76">
        <v>5</v>
      </c>
      <c r="AE53" s="75" t="s">
        <v>383</v>
      </c>
      <c r="AF53" s="76">
        <v>1</v>
      </c>
      <c r="AG53" s="75" t="s">
        <v>418</v>
      </c>
      <c r="AH53" s="76">
        <v>45</v>
      </c>
      <c r="AJ53" s="77" t="s">
        <v>707</v>
      </c>
      <c r="AK53" s="87">
        <v>45982</v>
      </c>
      <c r="AL53" s="70" t="s">
        <v>367</v>
      </c>
      <c r="AM53" s="70">
        <v>1</v>
      </c>
      <c r="AN53" s="78"/>
      <c r="AO53" s="78"/>
      <c r="AP53" s="79"/>
      <c r="AQ53" s="71" t="str">
        <f>_xlfn.CONCAT(C53,"/",D53)</f>
        <v>566/800</v>
      </c>
      <c r="AR53" s="71" t="str">
        <f>IF(D53=0,"DA CONTRATTO","SPOT")</f>
        <v>SPOT</v>
      </c>
      <c r="AS53" s="72" t="str">
        <f>IF(AD53=5,"P","C")</f>
        <v>P</v>
      </c>
      <c r="AT53" s="71">
        <f>VLOOKUP(S53,'FILE PALLETTIZZAZIONI DB SRL'!B:H,5,FALSE)</f>
        <v>2</v>
      </c>
      <c r="AU53" s="71" t="str">
        <f>TEXT(N53,"gggg")</f>
        <v>sabato</v>
      </c>
      <c r="AV53" s="71">
        <f>WEEKNUM(N53)</f>
        <v>0</v>
      </c>
      <c r="AW53" s="71" t="str">
        <f>IF(AND(ISBLANK(N53),AS53="P"), "ATTENZIONE: Data produzione non pianificata", IF(AND(ISBLANK(N53),AS53="C"), "ATTENZIONE: Data arrivo merce acquisti non presente", IF(O53-N53&gt;=AP53, "Data sped. utile INSERITA", "ATTENZIONE: GG. resa non adeguati")))</f>
        <v>ATTENZIONE: Data produzione non pianificata</v>
      </c>
      <c r="AX53" s="71" t="str">
        <f ca="1">IF(ISBLANK(O53), "ATTENZIONE: Data non inserita", IF(O53&lt;=param!B2, "ATTENZIONE: Ritardo, Avvertire il cliente", "Data cons. rich. INSERITA"))</f>
        <v>Data cons. rich. INSERITA</v>
      </c>
      <c r="AY53" s="71" t="str">
        <f>IF(OR(ISBLANK(AP53),ISBLANK(AH53)), "ATTENZIONE: Vettore non associato", IF(V53="VETTORE", "Tipo spedizione: VETTORE", IF(V53="DESTINATARIO", "Tipo spedizione: DESTINATARIO", IF(ISBLANK(V53), "ATTENZIONE: Vettore vuoto", "?"))))</f>
        <v>ATTENZIONE: Vettore non associato</v>
      </c>
      <c r="AZ53" s="71" t="str">
        <f>IF(AM53=1, "Città OK", "ATTENZIONE: CAP non presente")</f>
        <v>Città OK</v>
      </c>
      <c r="BA53" s="73" t="s">
        <v>387</v>
      </c>
      <c r="BB53" s="73" t="str">
        <f ca="1">_xlfn.CONCAT(AW53," - ",AX53," - ",AY53," - ",AZ53," - ","Data: ",BA53)</f>
        <v>ATTENZIONE: Data produzione non pianificata - Data cons. rich. INSERITA - ATTENZIONE: Vettore non associato - Città OK - Data: ATTENZIONE: Giorno congruo presa vettore</v>
      </c>
    </row>
    <row r="54" spans="1:54" x14ac:dyDescent="0.25">
      <c r="A54" s="75" t="s">
        <v>380</v>
      </c>
      <c r="B54" s="76">
        <v>78</v>
      </c>
      <c r="C54" s="76">
        <v>801</v>
      </c>
      <c r="D54" s="76">
        <v>0</v>
      </c>
      <c r="E54" s="85">
        <v>45972</v>
      </c>
      <c r="F54" s="76">
        <v>477</v>
      </c>
      <c r="G54" s="75" t="s">
        <v>489</v>
      </c>
      <c r="H54" s="75" t="s">
        <v>679</v>
      </c>
      <c r="I54" s="75" t="s">
        <v>693</v>
      </c>
      <c r="J54" s="75" t="s">
        <v>694</v>
      </c>
      <c r="K54" s="68">
        <v>700</v>
      </c>
      <c r="L54" s="86"/>
      <c r="M54" s="68">
        <v>700</v>
      </c>
      <c r="N54" s="85"/>
      <c r="O54" s="85">
        <v>45989</v>
      </c>
      <c r="P54" s="75"/>
      <c r="Q54" s="76">
        <v>8</v>
      </c>
      <c r="R54" s="76">
        <v>10</v>
      </c>
      <c r="S54" s="75" t="s">
        <v>47</v>
      </c>
      <c r="T54" s="75" t="s">
        <v>381</v>
      </c>
      <c r="U54" s="75" t="s">
        <v>415</v>
      </c>
      <c r="V54" s="75" t="s">
        <v>416</v>
      </c>
      <c r="W54" s="75" t="s">
        <v>489</v>
      </c>
      <c r="X54" s="75" t="s">
        <v>493</v>
      </c>
      <c r="Y54" s="76">
        <v>5</v>
      </c>
      <c r="Z54" s="75" t="s">
        <v>419</v>
      </c>
      <c r="AA54" s="76">
        <v>213</v>
      </c>
      <c r="AB54" s="75" t="s">
        <v>33</v>
      </c>
      <c r="AC54" s="76">
        <v>235</v>
      </c>
      <c r="AD54" s="76">
        <v>5</v>
      </c>
      <c r="AE54" s="75" t="s">
        <v>383</v>
      </c>
      <c r="AF54" s="76">
        <v>1</v>
      </c>
      <c r="AG54" s="75" t="s">
        <v>418</v>
      </c>
      <c r="AH54" s="76"/>
      <c r="AJ54" s="77" t="s">
        <v>695</v>
      </c>
      <c r="AK54" s="87"/>
      <c r="AL54" s="70" t="s">
        <v>366</v>
      </c>
      <c r="AM54" s="70">
        <v>1</v>
      </c>
      <c r="AN54" s="78"/>
      <c r="AO54" s="78"/>
      <c r="AP54" s="79"/>
      <c r="AQ54" s="71" t="str">
        <f>_xlfn.CONCAT(C54,"/",D54)</f>
        <v>801/0</v>
      </c>
      <c r="AR54" s="71" t="str">
        <f>IF(D54=0,"DA CONTRATTO","SPOT")</f>
        <v>DA CONTRATTO</v>
      </c>
      <c r="AS54" s="72" t="str">
        <f>IF(AD54=5,"P","C")</f>
        <v>P</v>
      </c>
      <c r="AT54" s="71">
        <f>VLOOKUP(S54,'FILE PALLETTIZZAZIONI DB SRL'!B:H,5,FALSE)</f>
        <v>2</v>
      </c>
      <c r="AU54" s="71" t="str">
        <f>TEXT(N54,"gggg")</f>
        <v>sabato</v>
      </c>
      <c r="AV54" s="71">
        <f>WEEKNUM(N54)</f>
        <v>0</v>
      </c>
      <c r="AW54" s="71" t="str">
        <f>IF(AND(ISBLANK(N54),AS54="P"), "ATTENZIONE: Data produzione non pianificata", IF(AND(ISBLANK(N54),AS54="C"), "ATTENZIONE: Data arrivo merce acquisti non presente", IF(O54-N54&gt;=AP54, "Data sped. utile INSERITA", "ATTENZIONE: GG. resa non adeguati")))</f>
        <v>ATTENZIONE: Data produzione non pianificata</v>
      </c>
      <c r="AX54" s="71" t="str">
        <f ca="1">IF(ISBLANK(O54), "ATTENZIONE: Data non inserita", IF(O54&lt;=param!B2, "ATTENZIONE: Ritardo, Avvertire il cliente", "Data cons. rich. INSERITA"))</f>
        <v>Data cons. rich. INSERITA</v>
      </c>
      <c r="AY54" s="71" t="str">
        <f>IF(OR(ISBLANK(AP54),ISBLANK(AH54)), "ATTENZIONE: Vettore non associato", IF(V54="VETTORE", "Tipo spedizione: VETTORE", IF(V54="DESTINATARIO", "Tipo spedizione: DESTINATARIO", IF(ISBLANK(V54), "ATTENZIONE: Vettore vuoto", "?"))))</f>
        <v>ATTENZIONE: Vettore non associato</v>
      </c>
      <c r="AZ54" s="71" t="str">
        <f>IF(AM54=1, "Città OK", "ATTENZIONE: CAP non presente")</f>
        <v>Città OK</v>
      </c>
      <c r="BA54" s="73" t="s">
        <v>387</v>
      </c>
      <c r="BB54" s="73" t="str">
        <f ca="1">_xlfn.CONCAT(AW54," - ",AX54," - ",AY54," - ",AZ54," - ","Data: ",BA54)</f>
        <v>ATTENZIONE: Data produzione non pianificata - Data cons. rich. INSERITA - ATTENZIONE: Vettore non associato - Città OK - Data: ATTENZIONE: Giorno congruo presa vettore</v>
      </c>
    </row>
    <row r="55" spans="1:54" x14ac:dyDescent="0.25">
      <c r="A55" s="75" t="s">
        <v>380</v>
      </c>
      <c r="B55" s="76">
        <v>79</v>
      </c>
      <c r="C55" s="76">
        <v>532</v>
      </c>
      <c r="D55" s="76">
        <v>800</v>
      </c>
      <c r="E55" s="85">
        <v>45945</v>
      </c>
      <c r="F55" s="76">
        <v>477</v>
      </c>
      <c r="G55" s="75" t="s">
        <v>489</v>
      </c>
      <c r="H55" s="75" t="s">
        <v>490</v>
      </c>
      <c r="I55" s="75" t="s">
        <v>491</v>
      </c>
      <c r="J55" s="75" t="s">
        <v>492</v>
      </c>
      <c r="K55" s="68">
        <v>800</v>
      </c>
      <c r="L55" s="86"/>
      <c r="M55" s="68">
        <v>800</v>
      </c>
      <c r="N55" s="85"/>
      <c r="O55" s="85">
        <v>45964</v>
      </c>
      <c r="P55" s="75" t="s">
        <v>30</v>
      </c>
      <c r="Q55" s="76">
        <v>8</v>
      </c>
      <c r="R55" s="76">
        <v>10</v>
      </c>
      <c r="S55" s="75" t="s">
        <v>52</v>
      </c>
      <c r="T55" s="75" t="s">
        <v>381</v>
      </c>
      <c r="U55" s="75" t="s">
        <v>415</v>
      </c>
      <c r="V55" s="75" t="s">
        <v>416</v>
      </c>
      <c r="W55" s="75" t="s">
        <v>489</v>
      </c>
      <c r="X55" s="75" t="s">
        <v>493</v>
      </c>
      <c r="Y55" s="76">
        <v>5</v>
      </c>
      <c r="Z55" s="75" t="s">
        <v>419</v>
      </c>
      <c r="AA55" s="76">
        <v>870</v>
      </c>
      <c r="AB55" s="75" t="s">
        <v>420</v>
      </c>
      <c r="AC55" s="76">
        <v>235</v>
      </c>
      <c r="AD55" s="76">
        <v>5</v>
      </c>
      <c r="AE55" s="75" t="s">
        <v>383</v>
      </c>
      <c r="AF55" s="76">
        <v>1</v>
      </c>
      <c r="AG55" s="75" t="s">
        <v>418</v>
      </c>
      <c r="AH55" s="76">
        <v>1</v>
      </c>
      <c r="AJ55" s="77" t="s">
        <v>494</v>
      </c>
      <c r="AK55" s="87">
        <v>45964</v>
      </c>
      <c r="AL55" s="70" t="s">
        <v>366</v>
      </c>
      <c r="AM55" s="70">
        <v>1</v>
      </c>
      <c r="AN55" s="78" t="s">
        <v>347</v>
      </c>
      <c r="AO55" s="78" t="s">
        <v>334</v>
      </c>
      <c r="AP55" s="79">
        <v>5</v>
      </c>
      <c r="AQ55" s="71" t="str">
        <f>_xlfn.CONCAT(C55,"/",D55)</f>
        <v>532/800</v>
      </c>
      <c r="AR55" s="71" t="str">
        <f>IF(D55=0,"DA CONTRATTO","SPOT")</f>
        <v>SPOT</v>
      </c>
      <c r="AS55" s="72" t="str">
        <f>IF(AD55=5,"P","C")</f>
        <v>P</v>
      </c>
      <c r="AT55" s="71">
        <f>VLOOKUP(S55,'FILE PALLETTIZZAZIONI DB SRL'!B:H,5,FALSE)</f>
        <v>80</v>
      </c>
      <c r="AU55" s="71" t="str">
        <f>TEXT(N55,"gggg")</f>
        <v>sabato</v>
      </c>
      <c r="AV55" s="71">
        <f>WEEKNUM(N55)</f>
        <v>0</v>
      </c>
      <c r="AW55" s="71" t="str">
        <f>IF(AND(ISBLANK(N55),AS55="P"), "ATTENZIONE: Data produzione non pianificata", IF(AND(ISBLANK(N55),AS55="C"), "ATTENZIONE: Data arrivo merce acquisti non presente", IF(O55-N55&gt;=AP55, "Data sped. utile INSERITA", "ATTENZIONE: GG. resa non adeguati")))</f>
        <v>ATTENZIONE: Data produzione non pianificata</v>
      </c>
      <c r="AX55" s="71" t="str">
        <f ca="1">IF(ISBLANK(O55), "ATTENZIONE: Data non inserita", IF(O55&lt;=param!B2, "ATTENZIONE: Ritardo, Avvertire il cliente", "Data cons. rich. INSERITA"))</f>
        <v>ATTENZIONE: Ritardo, Avvertire il cliente</v>
      </c>
      <c r="AY55" s="71" t="str">
        <f>IF(OR(ISBLANK(AP55),ISBLANK(AH55)), "ATTENZIONE: Vettore non associato", IF(V55="VETTORE", "Tipo spedizione: VETTORE", IF(V55="DESTINATARIO", "Tipo spedizione: DESTINATARIO", IF(ISBLANK(V55), "ATTENZIONE: Vettore vuoto", "?"))))</f>
        <v>Tipo spedizione: VETTORE</v>
      </c>
      <c r="AZ55" s="71" t="str">
        <f>IF(AM55=1, "Città OK", "ATTENZIONE: CAP non presente")</f>
        <v>Città OK</v>
      </c>
      <c r="BA55" s="73" t="s">
        <v>387</v>
      </c>
      <c r="BB55" s="73" t="str">
        <f ca="1">_xlfn.CONCAT(AW55," - ",AX55," - ",AY55," - ",AZ55," - ","Data: ",BA55)</f>
        <v>ATTENZIONE: Data produzione non pianificata - ATTENZIONE: Ritardo, Avvertire il cliente - Tipo spedizione: VETTORE - Città OK - Data: ATTENZIONE: Giorno congruo presa vettore</v>
      </c>
    </row>
    <row r="56" spans="1:54" x14ac:dyDescent="0.25">
      <c r="A56" s="75" t="s">
        <v>380</v>
      </c>
      <c r="B56" s="76">
        <v>80</v>
      </c>
      <c r="C56" s="76">
        <v>532</v>
      </c>
      <c r="D56" s="76">
        <v>800</v>
      </c>
      <c r="E56" s="85">
        <v>45945</v>
      </c>
      <c r="F56" s="76">
        <v>477</v>
      </c>
      <c r="G56" s="75" t="s">
        <v>489</v>
      </c>
      <c r="H56" s="75" t="s">
        <v>800</v>
      </c>
      <c r="I56" s="75" t="s">
        <v>801</v>
      </c>
      <c r="J56" s="75" t="s">
        <v>492</v>
      </c>
      <c r="K56" s="68">
        <v>0.7</v>
      </c>
      <c r="L56" s="86"/>
      <c r="M56" s="68">
        <v>0.7</v>
      </c>
      <c r="N56" s="85"/>
      <c r="O56" s="85">
        <v>45964</v>
      </c>
      <c r="P56" s="75" t="s">
        <v>30</v>
      </c>
      <c r="Q56" s="76">
        <v>8</v>
      </c>
      <c r="R56" s="76">
        <v>10</v>
      </c>
      <c r="S56" s="75" t="s">
        <v>802</v>
      </c>
      <c r="T56" s="75" t="s">
        <v>381</v>
      </c>
      <c r="U56" s="75" t="s">
        <v>415</v>
      </c>
      <c r="V56" s="75" t="s">
        <v>416</v>
      </c>
      <c r="W56" s="75" t="s">
        <v>489</v>
      </c>
      <c r="X56" s="75" t="s">
        <v>493</v>
      </c>
      <c r="Y56" s="76">
        <v>5</v>
      </c>
      <c r="Z56" s="75" t="s">
        <v>419</v>
      </c>
      <c r="AA56" s="76">
        <v>870</v>
      </c>
      <c r="AB56" s="75" t="s">
        <v>420</v>
      </c>
      <c r="AC56" s="76">
        <v>235</v>
      </c>
      <c r="AD56" s="76">
        <v>5</v>
      </c>
      <c r="AE56" s="75" t="s">
        <v>383</v>
      </c>
      <c r="AF56" s="76">
        <v>1</v>
      </c>
      <c r="AG56" s="75" t="s">
        <v>418</v>
      </c>
      <c r="AH56" s="76">
        <v>1</v>
      </c>
      <c r="AJ56" s="77" t="s">
        <v>494</v>
      </c>
      <c r="AK56" s="87">
        <v>45964</v>
      </c>
      <c r="AL56" s="70" t="s">
        <v>366</v>
      </c>
      <c r="AM56" s="70">
        <v>1</v>
      </c>
      <c r="AN56" s="78" t="s">
        <v>347</v>
      </c>
      <c r="AO56" s="78" t="s">
        <v>334</v>
      </c>
      <c r="AP56" s="79">
        <v>5</v>
      </c>
      <c r="AQ56" s="71" t="str">
        <f>_xlfn.CONCAT(C56,"/",D56)</f>
        <v>532/800</v>
      </c>
      <c r="AR56" s="71" t="str">
        <f>IF(D56=0,"DA CONTRATTO","SPOT")</f>
        <v>SPOT</v>
      </c>
      <c r="AS56" s="72" t="str">
        <f>IF(AD56=5,"P","C")</f>
        <v>P</v>
      </c>
      <c r="AT56" s="71" t="e">
        <f>VLOOKUP(S56,'FILE PALLETTIZZAZIONI DB SRL'!B:H,5,FALSE)</f>
        <v>#N/A</v>
      </c>
      <c r="AU56" s="71" t="str">
        <f>TEXT(N56,"gggg")</f>
        <v>sabato</v>
      </c>
      <c r="AV56" s="71">
        <f>WEEKNUM(N56)</f>
        <v>0</v>
      </c>
      <c r="AW56" s="71" t="str">
        <f>IF(AND(ISBLANK(N56),AS56="P"), "ATTENZIONE: Data produzione non pianificata", IF(AND(ISBLANK(N56),AS56="C"), "ATTENZIONE: Data arrivo merce acquisti non presente", IF(O56-N56&gt;=AP56, "Data sped. utile INSERITA", "ATTENZIONE: GG. resa non adeguati")))</f>
        <v>ATTENZIONE: Data produzione non pianificata</v>
      </c>
      <c r="AX56" s="71" t="str">
        <f ca="1">IF(ISBLANK(O56), "ATTENZIONE: Data non inserita", IF(O56&lt;=param!B2, "ATTENZIONE: Ritardo, Avvertire il cliente", "Data cons. rich. INSERITA"))</f>
        <v>ATTENZIONE: Ritardo, Avvertire il cliente</v>
      </c>
      <c r="AY56" s="71" t="str">
        <f>IF(OR(ISBLANK(AP56),ISBLANK(AH56)), "ATTENZIONE: Vettore non associato", IF(V56="VETTORE", "Tipo spedizione: VETTORE", IF(V56="DESTINATARIO", "Tipo spedizione: DESTINATARIO", IF(ISBLANK(V56), "ATTENZIONE: Vettore vuoto", "?"))))</f>
        <v>Tipo spedizione: VETTORE</v>
      </c>
      <c r="AZ56" s="71" t="str">
        <f>IF(AM56=1, "Città OK", "ATTENZIONE: CAP non presente")</f>
        <v>Città OK</v>
      </c>
      <c r="BA56" s="73" t="s">
        <v>387</v>
      </c>
      <c r="BB56" s="73" t="str">
        <f ca="1">_xlfn.CONCAT(AW56," - ",AX56," - ",AY56," - ",AZ56," - ","Data: ",BA56)</f>
        <v>ATTENZIONE: Data produzione non pianificata - ATTENZIONE: Ritardo, Avvertire il cliente - Tipo spedizione: VETTORE - Città OK - Data: ATTENZIONE: Giorno congruo presa vettore</v>
      </c>
    </row>
    <row r="57" spans="1:54" x14ac:dyDescent="0.25">
      <c r="A57" s="75" t="s">
        <v>380</v>
      </c>
      <c r="B57" s="76">
        <v>81</v>
      </c>
      <c r="C57" s="76">
        <v>561</v>
      </c>
      <c r="D57" s="76">
        <v>800</v>
      </c>
      <c r="E57" s="85">
        <v>45968</v>
      </c>
      <c r="F57" s="76">
        <v>477</v>
      </c>
      <c r="G57" s="75" t="s">
        <v>489</v>
      </c>
      <c r="H57" s="75" t="s">
        <v>654</v>
      </c>
      <c r="I57" s="75" t="s">
        <v>654</v>
      </c>
      <c r="J57" s="75" t="s">
        <v>655</v>
      </c>
      <c r="K57" s="68">
        <v>20</v>
      </c>
      <c r="L57" s="86"/>
      <c r="M57" s="68">
        <v>20</v>
      </c>
      <c r="N57" s="85"/>
      <c r="O57" s="85">
        <v>46001</v>
      </c>
      <c r="P57" s="75"/>
      <c r="Q57" s="76">
        <v>4</v>
      </c>
      <c r="R57" s="76">
        <v>8</v>
      </c>
      <c r="S57" s="75" t="s">
        <v>37</v>
      </c>
      <c r="T57" s="75" t="s">
        <v>381</v>
      </c>
      <c r="U57" s="75" t="s">
        <v>415</v>
      </c>
      <c r="V57" s="75" t="s">
        <v>416</v>
      </c>
      <c r="W57" s="75" t="s">
        <v>489</v>
      </c>
      <c r="X57" s="75" t="s">
        <v>493</v>
      </c>
      <c r="Y57" s="76">
        <v>5</v>
      </c>
      <c r="Z57" s="75" t="s">
        <v>33</v>
      </c>
      <c r="AA57" s="76">
        <v>972</v>
      </c>
      <c r="AB57" s="75" t="s">
        <v>656</v>
      </c>
      <c r="AC57" s="76">
        <v>180</v>
      </c>
      <c r="AD57" s="76">
        <v>5</v>
      </c>
      <c r="AE57" s="75" t="s">
        <v>383</v>
      </c>
      <c r="AF57" s="76">
        <v>1</v>
      </c>
      <c r="AG57" s="75" t="s">
        <v>418</v>
      </c>
      <c r="AH57" s="76"/>
      <c r="AJ57" s="77" t="s">
        <v>657</v>
      </c>
      <c r="AK57" s="87">
        <v>45982</v>
      </c>
      <c r="AL57" s="70" t="s">
        <v>366</v>
      </c>
      <c r="AM57" s="70">
        <v>1</v>
      </c>
      <c r="AN57" s="78"/>
      <c r="AO57" s="78"/>
      <c r="AP57" s="79"/>
      <c r="AQ57" s="71" t="str">
        <f>_xlfn.CONCAT(C57,"/",D57)</f>
        <v>561/800</v>
      </c>
      <c r="AR57" s="71" t="str">
        <f>IF(D57=0,"DA CONTRATTO","SPOT")</f>
        <v>SPOT</v>
      </c>
      <c r="AS57" s="72" t="str">
        <f>IF(AD57=5,"P","C")</f>
        <v>P</v>
      </c>
      <c r="AT57" s="71">
        <f>VLOOKUP(S57,'FILE PALLETTIZZAZIONI DB SRL'!B:H,5,FALSE)</f>
        <v>2</v>
      </c>
      <c r="AU57" s="71" t="str">
        <f>TEXT(N57,"gggg")</f>
        <v>sabato</v>
      </c>
      <c r="AV57" s="71">
        <f>WEEKNUM(N57)</f>
        <v>0</v>
      </c>
      <c r="AW57" s="71" t="str">
        <f>IF(AND(ISBLANK(N57),AS57="P"), "ATTENZIONE: Data produzione non pianificata", IF(AND(ISBLANK(N57),AS57="C"), "ATTENZIONE: Data arrivo merce acquisti non presente", IF(O57-N57&gt;=AP57, "Data sped. utile INSERITA", "ATTENZIONE: GG. resa non adeguati")))</f>
        <v>ATTENZIONE: Data produzione non pianificata</v>
      </c>
      <c r="AX57" s="71" t="str">
        <f ca="1">IF(ISBLANK(O57), "ATTENZIONE: Data non inserita", IF(O57&lt;=param!B2, "ATTENZIONE: Ritardo, Avvertire il cliente", "Data cons. rich. INSERITA"))</f>
        <v>Data cons. rich. INSERITA</v>
      </c>
      <c r="AY57" s="71" t="str">
        <f>IF(OR(ISBLANK(AP57),ISBLANK(AH57)), "ATTENZIONE: Vettore non associato", IF(V57="VETTORE", "Tipo spedizione: VETTORE", IF(V57="DESTINATARIO", "Tipo spedizione: DESTINATARIO", IF(ISBLANK(V57), "ATTENZIONE: Vettore vuoto", "?"))))</f>
        <v>ATTENZIONE: Vettore non associato</v>
      </c>
      <c r="AZ57" s="71" t="str">
        <f>IF(AM57=1, "Città OK", "ATTENZIONE: CAP non presente")</f>
        <v>Città OK</v>
      </c>
      <c r="BA57" s="73" t="s">
        <v>387</v>
      </c>
      <c r="BB57" s="73" t="str">
        <f ca="1">_xlfn.CONCAT(AW57," - ",AX57," - ",AY57," - ",AZ57," - ","Data: ",BA57)</f>
        <v>ATTENZIONE: Data produzione non pianificata - Data cons. rich. INSERITA - ATTENZIONE: Vettore non associato - Città OK - Data: ATTENZIONE: Giorno congruo presa vettore</v>
      </c>
    </row>
    <row r="58" spans="1:54" x14ac:dyDescent="0.25">
      <c r="A58" s="75" t="s">
        <v>380</v>
      </c>
      <c r="B58" s="76">
        <v>82</v>
      </c>
      <c r="C58" s="76">
        <v>561</v>
      </c>
      <c r="D58" s="76">
        <v>800</v>
      </c>
      <c r="E58" s="85">
        <v>45968</v>
      </c>
      <c r="F58" s="76">
        <v>477</v>
      </c>
      <c r="G58" s="75" t="s">
        <v>489</v>
      </c>
      <c r="H58" s="75" t="s">
        <v>658</v>
      </c>
      <c r="I58" s="75" t="s">
        <v>658</v>
      </c>
      <c r="J58" s="75" t="s">
        <v>655</v>
      </c>
      <c r="K58" s="68">
        <v>5</v>
      </c>
      <c r="L58" s="86"/>
      <c r="M58" s="68">
        <v>5</v>
      </c>
      <c r="N58" s="85"/>
      <c r="O58" s="85">
        <v>46001</v>
      </c>
      <c r="P58" s="75"/>
      <c r="Q58" s="76">
        <v>4</v>
      </c>
      <c r="R58" s="76">
        <v>8</v>
      </c>
      <c r="S58" s="75" t="s">
        <v>659</v>
      </c>
      <c r="T58" s="75" t="s">
        <v>381</v>
      </c>
      <c r="U58" s="75" t="s">
        <v>415</v>
      </c>
      <c r="V58" s="75" t="s">
        <v>416</v>
      </c>
      <c r="W58" s="75" t="s">
        <v>489</v>
      </c>
      <c r="X58" s="75" t="s">
        <v>493</v>
      </c>
      <c r="Y58" s="76">
        <v>5</v>
      </c>
      <c r="Z58" s="75" t="s">
        <v>33</v>
      </c>
      <c r="AA58" s="76">
        <v>972</v>
      </c>
      <c r="AB58" s="75" t="s">
        <v>656</v>
      </c>
      <c r="AC58" s="76">
        <v>180</v>
      </c>
      <c r="AD58" s="76">
        <v>5</v>
      </c>
      <c r="AE58" s="75" t="s">
        <v>383</v>
      </c>
      <c r="AF58" s="76">
        <v>1</v>
      </c>
      <c r="AG58" s="75" t="s">
        <v>418</v>
      </c>
      <c r="AH58" s="76"/>
      <c r="AJ58" s="77" t="s">
        <v>657</v>
      </c>
      <c r="AK58" s="87">
        <v>45982</v>
      </c>
      <c r="AL58" s="70" t="s">
        <v>366</v>
      </c>
      <c r="AM58" s="70">
        <v>1</v>
      </c>
      <c r="AN58" s="78"/>
      <c r="AO58" s="78"/>
      <c r="AP58" s="79"/>
      <c r="AQ58" s="71" t="str">
        <f>_xlfn.CONCAT(C58,"/",D58)</f>
        <v>561/800</v>
      </c>
      <c r="AR58" s="71" t="str">
        <f>IF(D58=0,"DA CONTRATTO","SPOT")</f>
        <v>SPOT</v>
      </c>
      <c r="AS58" s="72" t="str">
        <f>IF(AD58=5,"P","C")</f>
        <v>P</v>
      </c>
      <c r="AT58" s="71" t="e">
        <f>VLOOKUP(S58,'FILE PALLETTIZZAZIONI DB SRL'!B:H,5,FALSE)</f>
        <v>#N/A</v>
      </c>
      <c r="AU58" s="71" t="str">
        <f>TEXT(N58,"gggg")</f>
        <v>sabato</v>
      </c>
      <c r="AV58" s="71">
        <f>WEEKNUM(N58)</f>
        <v>0</v>
      </c>
      <c r="AW58" s="71" t="str">
        <f>IF(AND(ISBLANK(N58),AS58="P"), "ATTENZIONE: Data produzione non pianificata", IF(AND(ISBLANK(N58),AS58="C"), "ATTENZIONE: Data arrivo merce acquisti non presente", IF(O58-N58&gt;=AP58, "Data sped. utile INSERITA", "ATTENZIONE: GG. resa non adeguati")))</f>
        <v>ATTENZIONE: Data produzione non pianificata</v>
      </c>
      <c r="AX58" s="71" t="str">
        <f ca="1">IF(ISBLANK(O58), "ATTENZIONE: Data non inserita", IF(O58&lt;=param!B2, "ATTENZIONE: Ritardo, Avvertire il cliente", "Data cons. rich. INSERITA"))</f>
        <v>Data cons. rich. INSERITA</v>
      </c>
      <c r="AY58" s="71" t="str">
        <f>IF(OR(ISBLANK(AP58),ISBLANK(AH58)), "ATTENZIONE: Vettore non associato", IF(V58="VETTORE", "Tipo spedizione: VETTORE", IF(V58="DESTINATARIO", "Tipo spedizione: DESTINATARIO", IF(ISBLANK(V58), "ATTENZIONE: Vettore vuoto", "?"))))</f>
        <v>ATTENZIONE: Vettore non associato</v>
      </c>
      <c r="AZ58" s="71" t="str">
        <f>IF(AM58=1, "Città OK", "ATTENZIONE: CAP non presente")</f>
        <v>Città OK</v>
      </c>
      <c r="BA58" s="73" t="s">
        <v>387</v>
      </c>
      <c r="BB58" s="73" t="str">
        <f ca="1">_xlfn.CONCAT(AW58," - ",AX58," - ",AY58," - ",AZ58," - ","Data: ",BA58)</f>
        <v>ATTENZIONE: Data produzione non pianificata - Data cons. rich. INSERITA - ATTENZIONE: Vettore non associato - Città OK - Data: ATTENZIONE: Giorno congruo presa vettore</v>
      </c>
    </row>
    <row r="59" spans="1:54" x14ac:dyDescent="0.25">
      <c r="A59" s="75" t="s">
        <v>380</v>
      </c>
      <c r="B59" s="76">
        <v>83</v>
      </c>
      <c r="C59" s="76">
        <v>561</v>
      </c>
      <c r="D59" s="76">
        <v>800</v>
      </c>
      <c r="E59" s="85">
        <v>45968</v>
      </c>
      <c r="F59" s="76">
        <v>477</v>
      </c>
      <c r="G59" s="75" t="s">
        <v>489</v>
      </c>
      <c r="H59" s="75" t="s">
        <v>660</v>
      </c>
      <c r="I59" s="75" t="s">
        <v>660</v>
      </c>
      <c r="J59" s="75" t="s">
        <v>661</v>
      </c>
      <c r="K59" s="68">
        <v>20</v>
      </c>
      <c r="L59" s="86"/>
      <c r="M59" s="68">
        <v>20</v>
      </c>
      <c r="N59" s="85"/>
      <c r="O59" s="85">
        <v>46001</v>
      </c>
      <c r="P59" s="75"/>
      <c r="Q59" s="76"/>
      <c r="R59" s="76"/>
      <c r="S59" s="75" t="s">
        <v>37</v>
      </c>
      <c r="T59" s="75" t="s">
        <v>381</v>
      </c>
      <c r="U59" s="75" t="s">
        <v>415</v>
      </c>
      <c r="V59" s="75" t="s">
        <v>416</v>
      </c>
      <c r="W59" s="75" t="s">
        <v>489</v>
      </c>
      <c r="X59" s="75" t="s">
        <v>493</v>
      </c>
      <c r="Y59" s="76">
        <v>5</v>
      </c>
      <c r="Z59" s="75" t="s">
        <v>33</v>
      </c>
      <c r="AA59" s="76">
        <v>296</v>
      </c>
      <c r="AB59" s="75" t="s">
        <v>662</v>
      </c>
      <c r="AC59" s="76">
        <v>180</v>
      </c>
      <c r="AD59" s="76">
        <v>5</v>
      </c>
      <c r="AE59" s="75" t="s">
        <v>383</v>
      </c>
      <c r="AF59" s="76">
        <v>1</v>
      </c>
      <c r="AG59" s="75" t="s">
        <v>418</v>
      </c>
      <c r="AH59" s="76"/>
      <c r="AJ59" s="77" t="s">
        <v>657</v>
      </c>
      <c r="AK59" s="87">
        <v>45982</v>
      </c>
      <c r="AL59" s="70" t="s">
        <v>366</v>
      </c>
      <c r="AM59" s="70">
        <v>1</v>
      </c>
      <c r="AN59" s="78"/>
      <c r="AO59" s="78"/>
      <c r="AP59" s="79"/>
      <c r="AQ59" s="71" t="str">
        <f>_xlfn.CONCAT(C59,"/",D59)</f>
        <v>561/800</v>
      </c>
      <c r="AR59" s="71" t="str">
        <f>IF(D59=0,"DA CONTRATTO","SPOT")</f>
        <v>SPOT</v>
      </c>
      <c r="AS59" s="72" t="str">
        <f>IF(AD59=5,"P","C")</f>
        <v>P</v>
      </c>
      <c r="AT59" s="71">
        <f>VLOOKUP(S59,'FILE PALLETTIZZAZIONI DB SRL'!B:H,5,FALSE)</f>
        <v>2</v>
      </c>
      <c r="AU59" s="71" t="str">
        <f>TEXT(N59,"gggg")</f>
        <v>sabato</v>
      </c>
      <c r="AV59" s="71">
        <f>WEEKNUM(N59)</f>
        <v>0</v>
      </c>
      <c r="AW59" s="71" t="str">
        <f>IF(AND(ISBLANK(N59),AS59="P"), "ATTENZIONE: Data produzione non pianificata", IF(AND(ISBLANK(N59),AS59="C"), "ATTENZIONE: Data arrivo merce acquisti non presente", IF(O59-N59&gt;=AP59, "Data sped. utile INSERITA", "ATTENZIONE: GG. resa non adeguati")))</f>
        <v>ATTENZIONE: Data produzione non pianificata</v>
      </c>
      <c r="AX59" s="71" t="str">
        <f ca="1">IF(ISBLANK(O59), "ATTENZIONE: Data non inserita", IF(O59&lt;=param!B2, "ATTENZIONE: Ritardo, Avvertire il cliente", "Data cons. rich. INSERITA"))</f>
        <v>Data cons. rich. INSERITA</v>
      </c>
      <c r="AY59" s="71" t="str">
        <f>IF(OR(ISBLANK(AP59),ISBLANK(AH59)), "ATTENZIONE: Vettore non associato", IF(V59="VETTORE", "Tipo spedizione: VETTORE", IF(V59="DESTINATARIO", "Tipo spedizione: DESTINATARIO", IF(ISBLANK(V59), "ATTENZIONE: Vettore vuoto", "?"))))</f>
        <v>ATTENZIONE: Vettore non associato</v>
      </c>
      <c r="AZ59" s="71" t="str">
        <f>IF(AM59=1, "Città OK", "ATTENZIONE: CAP non presente")</f>
        <v>Città OK</v>
      </c>
      <c r="BA59" s="73" t="s">
        <v>387</v>
      </c>
      <c r="BB59" s="73" t="str">
        <f ca="1">_xlfn.CONCAT(AW59," - ",AX59," - ",AY59," - ",AZ59," - ","Data: ",BA59)</f>
        <v>ATTENZIONE: Data produzione non pianificata - Data cons. rich. INSERITA - ATTENZIONE: Vettore non associato - Città OK - Data: ATTENZIONE: Giorno congruo presa vettore</v>
      </c>
    </row>
    <row r="60" spans="1:54" x14ac:dyDescent="0.25">
      <c r="A60" s="75" t="s">
        <v>380</v>
      </c>
      <c r="B60" s="76">
        <v>84</v>
      </c>
      <c r="C60" s="76">
        <v>561</v>
      </c>
      <c r="D60" s="76">
        <v>800</v>
      </c>
      <c r="E60" s="85">
        <v>45968</v>
      </c>
      <c r="F60" s="76">
        <v>477</v>
      </c>
      <c r="G60" s="75" t="s">
        <v>489</v>
      </c>
      <c r="H60" s="75" t="s">
        <v>663</v>
      </c>
      <c r="I60" s="75" t="s">
        <v>663</v>
      </c>
      <c r="J60" s="75" t="s">
        <v>661</v>
      </c>
      <c r="K60" s="68">
        <v>5</v>
      </c>
      <c r="L60" s="86"/>
      <c r="M60" s="68">
        <v>5</v>
      </c>
      <c r="N60" s="85"/>
      <c r="O60" s="85">
        <v>46001</v>
      </c>
      <c r="P60" s="75"/>
      <c r="Q60" s="76"/>
      <c r="R60" s="76"/>
      <c r="S60" s="75" t="s">
        <v>659</v>
      </c>
      <c r="T60" s="75" t="s">
        <v>381</v>
      </c>
      <c r="U60" s="75" t="s">
        <v>415</v>
      </c>
      <c r="V60" s="75" t="s">
        <v>416</v>
      </c>
      <c r="W60" s="75" t="s">
        <v>489</v>
      </c>
      <c r="X60" s="75" t="s">
        <v>493</v>
      </c>
      <c r="Y60" s="76">
        <v>5</v>
      </c>
      <c r="Z60" s="75" t="s">
        <v>33</v>
      </c>
      <c r="AA60" s="76">
        <v>296</v>
      </c>
      <c r="AB60" s="75" t="s">
        <v>662</v>
      </c>
      <c r="AC60" s="76">
        <v>180</v>
      </c>
      <c r="AD60" s="76">
        <v>5</v>
      </c>
      <c r="AE60" s="75" t="s">
        <v>383</v>
      </c>
      <c r="AF60" s="76">
        <v>1</v>
      </c>
      <c r="AG60" s="75" t="s">
        <v>418</v>
      </c>
      <c r="AH60" s="76"/>
      <c r="AJ60" s="77" t="s">
        <v>657</v>
      </c>
      <c r="AK60" s="87">
        <v>45982</v>
      </c>
      <c r="AL60" s="70" t="s">
        <v>366</v>
      </c>
      <c r="AM60" s="70">
        <v>1</v>
      </c>
      <c r="AN60" s="78"/>
      <c r="AO60" s="78"/>
      <c r="AP60" s="79"/>
      <c r="AQ60" s="71" t="str">
        <f>_xlfn.CONCAT(C60,"/",D60)</f>
        <v>561/800</v>
      </c>
      <c r="AR60" s="71" t="str">
        <f>IF(D60=0,"DA CONTRATTO","SPOT")</f>
        <v>SPOT</v>
      </c>
      <c r="AS60" s="72" t="str">
        <f>IF(AD60=5,"P","C")</f>
        <v>P</v>
      </c>
      <c r="AT60" s="71" t="e">
        <f>VLOOKUP(S60,'FILE PALLETTIZZAZIONI DB SRL'!B:H,5,FALSE)</f>
        <v>#N/A</v>
      </c>
      <c r="AU60" s="71" t="str">
        <f>TEXT(N60,"gggg")</f>
        <v>sabato</v>
      </c>
      <c r="AV60" s="71">
        <f>WEEKNUM(N60)</f>
        <v>0</v>
      </c>
      <c r="AW60" s="71" t="str">
        <f>IF(AND(ISBLANK(N60),AS60="P"), "ATTENZIONE: Data produzione non pianificata", IF(AND(ISBLANK(N60),AS60="C"), "ATTENZIONE: Data arrivo merce acquisti non presente", IF(O60-N60&gt;=AP60, "Data sped. utile INSERITA", "ATTENZIONE: GG. resa non adeguati")))</f>
        <v>ATTENZIONE: Data produzione non pianificata</v>
      </c>
      <c r="AX60" s="71" t="str">
        <f ca="1">IF(ISBLANK(O60), "ATTENZIONE: Data non inserita", IF(O60&lt;=param!B2, "ATTENZIONE: Ritardo, Avvertire il cliente", "Data cons. rich. INSERITA"))</f>
        <v>Data cons. rich. INSERITA</v>
      </c>
      <c r="AY60" s="71" t="str">
        <f>IF(OR(ISBLANK(AP60),ISBLANK(AH60)), "ATTENZIONE: Vettore non associato", IF(V60="VETTORE", "Tipo spedizione: VETTORE", IF(V60="DESTINATARIO", "Tipo spedizione: DESTINATARIO", IF(ISBLANK(V60), "ATTENZIONE: Vettore vuoto", "?"))))</f>
        <v>ATTENZIONE: Vettore non associato</v>
      </c>
      <c r="AZ60" s="71" t="str">
        <f>IF(AM60=1, "Città OK", "ATTENZIONE: CAP non presente")</f>
        <v>Città OK</v>
      </c>
      <c r="BA60" s="73" t="s">
        <v>387</v>
      </c>
      <c r="BB60" s="73" t="str">
        <f ca="1">_xlfn.CONCAT(AW60," - ",AX60," - ",AY60," - ",AZ60," - ","Data: ",BA60)</f>
        <v>ATTENZIONE: Data produzione non pianificata - Data cons. rich. INSERITA - ATTENZIONE: Vettore non associato - Città OK - Data: ATTENZIONE: Giorno congruo presa vettore</v>
      </c>
    </row>
    <row r="61" spans="1:54" x14ac:dyDescent="0.25">
      <c r="A61" s="75" t="s">
        <v>380</v>
      </c>
      <c r="B61" s="76">
        <v>85</v>
      </c>
      <c r="C61" s="76">
        <v>779</v>
      </c>
      <c r="D61" s="76">
        <v>0</v>
      </c>
      <c r="E61" s="85">
        <v>45959</v>
      </c>
      <c r="F61" s="76">
        <v>484</v>
      </c>
      <c r="G61" s="75" t="s">
        <v>556</v>
      </c>
      <c r="H61" s="75" t="s">
        <v>557</v>
      </c>
      <c r="I61" s="75" t="s">
        <v>558</v>
      </c>
      <c r="J61" s="75" t="s">
        <v>559</v>
      </c>
      <c r="K61" s="68">
        <v>1000</v>
      </c>
      <c r="L61" s="86"/>
      <c r="M61" s="68">
        <v>1000</v>
      </c>
      <c r="N61" s="85"/>
      <c r="O61" s="85">
        <v>46036</v>
      </c>
      <c r="P61" s="75" t="s">
        <v>31</v>
      </c>
      <c r="Q61" s="76">
        <v>8</v>
      </c>
      <c r="R61" s="76">
        <v>10</v>
      </c>
      <c r="S61" s="75" t="s">
        <v>47</v>
      </c>
      <c r="T61" s="75" t="s">
        <v>381</v>
      </c>
      <c r="U61" s="75" t="s">
        <v>415</v>
      </c>
      <c r="V61" s="75" t="s">
        <v>416</v>
      </c>
      <c r="W61" s="75" t="s">
        <v>556</v>
      </c>
      <c r="X61" s="75" t="s">
        <v>560</v>
      </c>
      <c r="Y61" s="76">
        <v>5</v>
      </c>
      <c r="Z61" s="75" t="s">
        <v>419</v>
      </c>
      <c r="AA61" s="76">
        <v>870</v>
      </c>
      <c r="AB61" s="75" t="s">
        <v>420</v>
      </c>
      <c r="AC61" s="76">
        <v>235</v>
      </c>
      <c r="AD61" s="76">
        <v>5</v>
      </c>
      <c r="AE61" s="75" t="s">
        <v>383</v>
      </c>
      <c r="AF61" s="76">
        <v>1</v>
      </c>
      <c r="AG61" s="75" t="s">
        <v>418</v>
      </c>
      <c r="AH61" s="76">
        <v>2</v>
      </c>
      <c r="AJ61" s="77" t="s">
        <v>561</v>
      </c>
      <c r="AK61" s="87"/>
      <c r="AL61" s="70" t="s">
        <v>367</v>
      </c>
      <c r="AM61" s="70">
        <v>1</v>
      </c>
      <c r="AN61" s="78"/>
      <c r="AO61" s="78"/>
      <c r="AP61" s="79"/>
      <c r="AQ61" s="71" t="str">
        <f>_xlfn.CONCAT(C61,"/",D61)</f>
        <v>779/0</v>
      </c>
      <c r="AR61" s="71" t="str">
        <f>IF(D61=0,"DA CONTRATTO","SPOT")</f>
        <v>DA CONTRATTO</v>
      </c>
      <c r="AS61" s="72" t="str">
        <f>IF(AD61=5,"P","C")</f>
        <v>P</v>
      </c>
      <c r="AT61" s="71">
        <f>VLOOKUP(S61,'FILE PALLETTIZZAZIONI DB SRL'!B:H,5,FALSE)</f>
        <v>2</v>
      </c>
      <c r="AU61" s="71" t="str">
        <f>TEXT(N61,"gggg")</f>
        <v>sabato</v>
      </c>
      <c r="AV61" s="71">
        <f>WEEKNUM(N61)</f>
        <v>0</v>
      </c>
      <c r="AW61" s="71" t="str">
        <f>IF(AND(ISBLANK(N61),AS61="P"), "ATTENZIONE: Data produzione non pianificata", IF(AND(ISBLANK(N61),AS61="C"), "ATTENZIONE: Data arrivo merce acquisti non presente", IF(O61-N61&gt;=AP61, "Data sped. utile INSERITA", "ATTENZIONE: GG. resa non adeguati")))</f>
        <v>ATTENZIONE: Data produzione non pianificata</v>
      </c>
      <c r="AX61" s="71" t="str">
        <f ca="1">IF(ISBLANK(O61), "ATTENZIONE: Data non inserita", IF(O61&lt;=param!B2, "ATTENZIONE: Ritardo, Avvertire il cliente", "Data cons. rich. INSERITA"))</f>
        <v>Data cons. rich. INSERITA</v>
      </c>
      <c r="AY61" s="71" t="str">
        <f>IF(OR(ISBLANK(AP61),ISBLANK(AH61)), "ATTENZIONE: Vettore non associato", IF(V61="VETTORE", "Tipo spedizione: VETTORE", IF(V61="DESTINATARIO", "Tipo spedizione: DESTINATARIO", IF(ISBLANK(V61), "ATTENZIONE: Vettore vuoto", "?"))))</f>
        <v>ATTENZIONE: Vettore non associato</v>
      </c>
      <c r="AZ61" s="71" t="str">
        <f>IF(AM61=1, "Città OK", "ATTENZIONE: CAP non presente")</f>
        <v>Città OK</v>
      </c>
      <c r="BA61" s="73" t="s">
        <v>387</v>
      </c>
      <c r="BB61" s="73" t="str">
        <f ca="1">_xlfn.CONCAT(AW61," - ",AX61," - ",AY61," - ",AZ61," - ","Data: ",BA61)</f>
        <v>ATTENZIONE: Data produzione non pianificata - Data cons. rich. INSERITA - ATTENZIONE: Vettore non associato - Città OK - Data: ATTENZIONE: Giorno congruo presa vettore</v>
      </c>
    </row>
    <row r="62" spans="1:54" x14ac:dyDescent="0.25">
      <c r="A62" s="75" t="s">
        <v>380</v>
      </c>
      <c r="B62" s="76">
        <v>86</v>
      </c>
      <c r="C62" s="76">
        <v>811</v>
      </c>
      <c r="D62" s="76">
        <v>0</v>
      </c>
      <c r="E62" s="85">
        <v>45975</v>
      </c>
      <c r="F62" s="76">
        <v>484</v>
      </c>
      <c r="G62" s="75" t="s">
        <v>556</v>
      </c>
      <c r="H62" s="75" t="s">
        <v>735</v>
      </c>
      <c r="I62" s="75" t="s">
        <v>736</v>
      </c>
      <c r="J62" s="75" t="s">
        <v>737</v>
      </c>
      <c r="K62" s="68">
        <v>640</v>
      </c>
      <c r="L62" s="86"/>
      <c r="M62" s="68">
        <v>640</v>
      </c>
      <c r="N62" s="85"/>
      <c r="O62" s="85">
        <v>46036</v>
      </c>
      <c r="P62" s="75" t="s">
        <v>31</v>
      </c>
      <c r="Q62" s="76">
        <v>8</v>
      </c>
      <c r="R62" s="76">
        <v>10</v>
      </c>
      <c r="S62" s="75" t="s">
        <v>37</v>
      </c>
      <c r="T62" s="75" t="s">
        <v>381</v>
      </c>
      <c r="U62" s="75" t="s">
        <v>415</v>
      </c>
      <c r="V62" s="75" t="s">
        <v>416</v>
      </c>
      <c r="W62" s="75" t="s">
        <v>556</v>
      </c>
      <c r="X62" s="75" t="s">
        <v>560</v>
      </c>
      <c r="Y62" s="76">
        <v>5</v>
      </c>
      <c r="Z62" s="75" t="s">
        <v>669</v>
      </c>
      <c r="AA62" s="76">
        <v>745</v>
      </c>
      <c r="AB62" s="75" t="s">
        <v>691</v>
      </c>
      <c r="AC62" s="76">
        <v>125</v>
      </c>
      <c r="AD62" s="76">
        <v>5</v>
      </c>
      <c r="AE62" s="75" t="s">
        <v>383</v>
      </c>
      <c r="AF62" s="76">
        <v>1</v>
      </c>
      <c r="AG62" s="75" t="s">
        <v>418</v>
      </c>
      <c r="AH62" s="76">
        <v>2</v>
      </c>
      <c r="AJ62" s="77" t="s">
        <v>561</v>
      </c>
      <c r="AK62" s="87"/>
      <c r="AL62" s="70" t="s">
        <v>367</v>
      </c>
      <c r="AM62" s="70">
        <v>1</v>
      </c>
      <c r="AN62" s="78"/>
      <c r="AO62" s="78"/>
      <c r="AP62" s="79"/>
      <c r="AQ62" s="71" t="str">
        <f>_xlfn.CONCAT(C62,"/",D62)</f>
        <v>811/0</v>
      </c>
      <c r="AR62" s="71" t="str">
        <f>IF(D62=0,"DA CONTRATTO","SPOT")</f>
        <v>DA CONTRATTO</v>
      </c>
      <c r="AS62" s="72" t="str">
        <f>IF(AD62=5,"P","C")</f>
        <v>P</v>
      </c>
      <c r="AT62" s="71">
        <f>VLOOKUP(S62,'FILE PALLETTIZZAZIONI DB SRL'!B:H,5,FALSE)</f>
        <v>2</v>
      </c>
      <c r="AU62" s="71" t="str">
        <f>TEXT(N62,"gggg")</f>
        <v>sabato</v>
      </c>
      <c r="AV62" s="71">
        <f>WEEKNUM(N62)</f>
        <v>0</v>
      </c>
      <c r="AW62" s="71" t="str">
        <f>IF(AND(ISBLANK(N62),AS62="P"), "ATTENZIONE: Data produzione non pianificata", IF(AND(ISBLANK(N62),AS62="C"), "ATTENZIONE: Data arrivo merce acquisti non presente", IF(O62-N62&gt;=AP62, "Data sped. utile INSERITA", "ATTENZIONE: GG. resa non adeguati")))</f>
        <v>ATTENZIONE: Data produzione non pianificata</v>
      </c>
      <c r="AX62" s="71" t="str">
        <f ca="1">IF(ISBLANK(O62), "ATTENZIONE: Data non inserita", IF(O62&lt;=param!B2, "ATTENZIONE: Ritardo, Avvertire il cliente", "Data cons. rich. INSERITA"))</f>
        <v>Data cons. rich. INSERITA</v>
      </c>
      <c r="AY62" s="71" t="str">
        <f>IF(OR(ISBLANK(AP62),ISBLANK(AH62)), "ATTENZIONE: Vettore non associato", IF(V62="VETTORE", "Tipo spedizione: VETTORE", IF(V62="DESTINATARIO", "Tipo spedizione: DESTINATARIO", IF(ISBLANK(V62), "ATTENZIONE: Vettore vuoto", "?"))))</f>
        <v>ATTENZIONE: Vettore non associato</v>
      </c>
      <c r="AZ62" s="71" t="str">
        <f>IF(AM62=1, "Città OK", "ATTENZIONE: CAP non presente")</f>
        <v>Città OK</v>
      </c>
      <c r="BA62" s="73" t="s">
        <v>387</v>
      </c>
      <c r="BB62" s="73" t="str">
        <f ca="1">_xlfn.CONCAT(AW62," - ",AX62," - ",AY62," - ",AZ62," - ","Data: ",BA62)</f>
        <v>ATTENZIONE: Data produzione non pianificata - Data cons. rich. INSERITA - ATTENZIONE: Vettore non associato - Città OK - Data: ATTENZIONE: Giorno congruo presa vettore</v>
      </c>
    </row>
    <row r="63" spans="1:54" x14ac:dyDescent="0.25">
      <c r="A63" s="75" t="s">
        <v>380</v>
      </c>
      <c r="B63" s="76">
        <v>87</v>
      </c>
      <c r="C63" s="76">
        <v>823</v>
      </c>
      <c r="D63" s="76">
        <v>0</v>
      </c>
      <c r="E63" s="85">
        <v>45979</v>
      </c>
      <c r="F63" s="76">
        <v>492</v>
      </c>
      <c r="G63" s="75" t="s">
        <v>803</v>
      </c>
      <c r="H63" s="75" t="s">
        <v>452</v>
      </c>
      <c r="I63" s="75" t="s">
        <v>804</v>
      </c>
      <c r="J63" s="75" t="s">
        <v>805</v>
      </c>
      <c r="K63" s="68">
        <v>5000</v>
      </c>
      <c r="L63" s="86"/>
      <c r="M63" s="68">
        <v>5000</v>
      </c>
      <c r="N63" s="85"/>
      <c r="O63" s="85">
        <v>46049</v>
      </c>
      <c r="P63" s="75" t="s">
        <v>414</v>
      </c>
      <c r="Q63" s="76">
        <v>8</v>
      </c>
      <c r="R63" s="76">
        <v>10</v>
      </c>
      <c r="S63" s="75" t="s">
        <v>47</v>
      </c>
      <c r="T63" s="75" t="s">
        <v>381</v>
      </c>
      <c r="U63" s="75" t="s">
        <v>415</v>
      </c>
      <c r="V63" s="75" t="s">
        <v>416</v>
      </c>
      <c r="W63" s="75" t="s">
        <v>806</v>
      </c>
      <c r="X63" s="75" t="s">
        <v>807</v>
      </c>
      <c r="Y63" s="76">
        <v>5</v>
      </c>
      <c r="Z63" s="75" t="s">
        <v>419</v>
      </c>
      <c r="AA63" s="76">
        <v>870</v>
      </c>
      <c r="AB63" s="75" t="s">
        <v>420</v>
      </c>
      <c r="AC63" s="76">
        <v>235</v>
      </c>
      <c r="AD63" s="76">
        <v>5</v>
      </c>
      <c r="AE63" s="75" t="s">
        <v>383</v>
      </c>
      <c r="AF63" s="76">
        <v>1</v>
      </c>
      <c r="AG63" s="75" t="s">
        <v>418</v>
      </c>
      <c r="AH63" s="76">
        <v>70</v>
      </c>
      <c r="AJ63" s="77" t="s">
        <v>808</v>
      </c>
      <c r="AK63" s="87"/>
      <c r="AL63" s="70" t="s">
        <v>366</v>
      </c>
      <c r="AM63" s="70">
        <v>1</v>
      </c>
      <c r="AN63" s="78"/>
      <c r="AO63" s="78"/>
      <c r="AP63" s="79"/>
      <c r="AQ63" s="71" t="str">
        <f>_xlfn.CONCAT(C63,"/",D63)</f>
        <v>823/0</v>
      </c>
      <c r="AR63" s="71" t="str">
        <f>IF(D63=0,"DA CONTRATTO","SPOT")</f>
        <v>DA CONTRATTO</v>
      </c>
      <c r="AS63" s="72" t="str">
        <f>IF(AD63=5,"P","C")</f>
        <v>P</v>
      </c>
      <c r="AT63" s="71">
        <f>VLOOKUP(S63,'FILE PALLETTIZZAZIONI DB SRL'!B:H,5,FALSE)</f>
        <v>2</v>
      </c>
      <c r="AU63" s="71" t="str">
        <f>TEXT(N63,"gggg")</f>
        <v>sabato</v>
      </c>
      <c r="AV63" s="71">
        <f>WEEKNUM(N63)</f>
        <v>0</v>
      </c>
      <c r="AW63" s="71" t="str">
        <f>IF(AND(ISBLANK(N63),AS63="P"), "ATTENZIONE: Data produzione non pianificata", IF(AND(ISBLANK(N63),AS63="C"), "ATTENZIONE: Data arrivo merce acquisti non presente", IF(O63-N63&gt;=AP63, "Data sped. utile INSERITA", "ATTENZIONE: GG. resa non adeguati")))</f>
        <v>ATTENZIONE: Data produzione non pianificata</v>
      </c>
      <c r="AX63" s="71" t="str">
        <f ca="1">IF(ISBLANK(O63), "ATTENZIONE: Data non inserita", IF(O63&lt;=param!B2, "ATTENZIONE: Ritardo, Avvertire il cliente", "Data cons. rich. INSERITA"))</f>
        <v>Data cons. rich. INSERITA</v>
      </c>
      <c r="AY63" s="71" t="str">
        <f>IF(OR(ISBLANK(AP63),ISBLANK(AH63)), "ATTENZIONE: Vettore non associato", IF(V63="VETTORE", "Tipo spedizione: VETTORE", IF(V63="DESTINATARIO", "Tipo spedizione: DESTINATARIO", IF(ISBLANK(V63), "ATTENZIONE: Vettore vuoto", "?"))))</f>
        <v>ATTENZIONE: Vettore non associato</v>
      </c>
      <c r="AZ63" s="71" t="str">
        <f>IF(AM63=1, "Città OK", "ATTENZIONE: CAP non presente")</f>
        <v>Città OK</v>
      </c>
      <c r="BA63" s="73" t="s">
        <v>387</v>
      </c>
      <c r="BB63" s="73" t="str">
        <f ca="1">_xlfn.CONCAT(AW63," - ",AX63," - ",AY63," - ",AZ63," - ","Data: ",BA63)</f>
        <v>ATTENZIONE: Data produzione non pianificata - Data cons. rich. INSERITA - ATTENZIONE: Vettore non associato - Città OK - Data: ATTENZIONE: Giorno congruo presa vettore</v>
      </c>
    </row>
    <row r="64" spans="1:54" x14ac:dyDescent="0.25">
      <c r="A64" s="75" t="s">
        <v>380</v>
      </c>
      <c r="B64" s="76">
        <v>89</v>
      </c>
      <c r="C64" s="76">
        <v>699</v>
      </c>
      <c r="D64" s="76">
        <v>0</v>
      </c>
      <c r="E64" s="85">
        <v>45889</v>
      </c>
      <c r="F64" s="76">
        <v>557</v>
      </c>
      <c r="G64" s="75" t="s">
        <v>405</v>
      </c>
      <c r="H64" s="75" t="s">
        <v>407</v>
      </c>
      <c r="I64" s="75" t="s">
        <v>408</v>
      </c>
      <c r="J64" s="75" t="s">
        <v>409</v>
      </c>
      <c r="K64" s="68">
        <v>500</v>
      </c>
      <c r="L64" s="86"/>
      <c r="M64" s="68">
        <v>500</v>
      </c>
      <c r="N64" s="85"/>
      <c r="O64" s="85">
        <v>46052</v>
      </c>
      <c r="P64" s="75" t="s">
        <v>30</v>
      </c>
      <c r="Q64" s="76">
        <v>4</v>
      </c>
      <c r="R64" s="76">
        <v>8</v>
      </c>
      <c r="S64" s="75" t="s">
        <v>46</v>
      </c>
      <c r="T64" s="75" t="s">
        <v>381</v>
      </c>
      <c r="U64" s="75" t="s">
        <v>415</v>
      </c>
      <c r="V64" s="75" t="s">
        <v>416</v>
      </c>
      <c r="W64" s="75" t="s">
        <v>405</v>
      </c>
      <c r="X64" s="75" t="s">
        <v>406</v>
      </c>
      <c r="Y64" s="76">
        <v>6</v>
      </c>
      <c r="Z64" s="75" t="s">
        <v>36</v>
      </c>
      <c r="AA64" s="76">
        <v>364</v>
      </c>
      <c r="AB64" s="75" t="s">
        <v>429</v>
      </c>
      <c r="AC64" s="76">
        <v>295</v>
      </c>
      <c r="AD64" s="76">
        <v>6</v>
      </c>
      <c r="AE64" s="75" t="s">
        <v>382</v>
      </c>
      <c r="AF64" s="76">
        <v>1</v>
      </c>
      <c r="AG64" s="75" t="s">
        <v>418</v>
      </c>
      <c r="AH64" s="76">
        <v>1</v>
      </c>
      <c r="AJ64" s="77" t="s">
        <v>411</v>
      </c>
      <c r="AK64" s="87"/>
      <c r="AL64" s="70" t="s">
        <v>366</v>
      </c>
      <c r="AM64" s="70">
        <v>1</v>
      </c>
      <c r="AN64" s="78" t="s">
        <v>347</v>
      </c>
      <c r="AO64" s="78" t="s">
        <v>334</v>
      </c>
      <c r="AP64" s="79">
        <v>5</v>
      </c>
      <c r="AQ64" s="71" t="str">
        <f>_xlfn.CONCAT(C64,"/",D64)</f>
        <v>699/0</v>
      </c>
      <c r="AR64" s="71" t="str">
        <f>IF(D64=0,"DA CONTRATTO","SPOT")</f>
        <v>DA CONTRATTO</v>
      </c>
      <c r="AS64" s="72" t="str">
        <f>IF(AD64=5,"P","C")</f>
        <v>C</v>
      </c>
      <c r="AT64" s="71">
        <f>VLOOKUP(S64,'FILE PALLETTIZZAZIONI DB SRL'!B:H,5,FALSE)</f>
        <v>6</v>
      </c>
      <c r="AU64" s="71" t="str">
        <f>TEXT(N64,"gggg")</f>
        <v>sabato</v>
      </c>
      <c r="AV64" s="71">
        <f>WEEKNUM(N64)</f>
        <v>0</v>
      </c>
      <c r="AW64" s="71" t="str">
        <f>IF(AND(ISBLANK(N64),AS64="P"), "ATTENZIONE: Data produzione non pianificata", IF(AND(ISBLANK(N64),AS64="C"), "ATTENZIONE: Data arrivo merce acquisti non presente", IF(O64-N64&gt;=AP64, "Data sped. utile INSERITA", "ATTENZIONE: GG. resa non adeguati")))</f>
        <v>ATTENZIONE: Data arrivo merce acquisti non presente</v>
      </c>
      <c r="AX64" s="71" t="str">
        <f ca="1">IF(ISBLANK(O64), "ATTENZIONE: Data non inserita", IF(O64&lt;=param!B2, "ATTENZIONE: Ritardo, Avvertire il cliente", "Data cons. rich. INSERITA"))</f>
        <v>Data cons. rich. INSERITA</v>
      </c>
      <c r="AY64" s="71" t="str">
        <f>IF(OR(ISBLANK(AP64),ISBLANK(AH64)), "ATTENZIONE: Vettore non associato", IF(V64="VETTORE", "Tipo spedizione: VETTORE", IF(V64="DESTINATARIO", "Tipo spedizione: DESTINATARIO", IF(ISBLANK(V64), "ATTENZIONE: Vettore vuoto", "?"))))</f>
        <v>Tipo spedizione: VETTORE</v>
      </c>
      <c r="AZ64" s="71" t="str">
        <f>IF(AM64=1, "Città OK", "ATTENZIONE: CAP non presente")</f>
        <v>Città OK</v>
      </c>
      <c r="BA64" s="73" t="s">
        <v>387</v>
      </c>
      <c r="BB64" s="73" t="str">
        <f ca="1">_xlfn.CONCAT(AW64," - ",AX64," - ",AY64," - ",AZ64," - ","Data: ",BA64)</f>
        <v>ATTENZIONE: Data arrivo merce acquisti non presente - Data cons. rich. INSERITA - Tipo spedizione: VETTORE - Città OK - Data: ATTENZIONE: Giorno congruo presa vettore</v>
      </c>
    </row>
    <row r="65" spans="1:54" x14ac:dyDescent="0.25">
      <c r="A65" s="75" t="s">
        <v>380</v>
      </c>
      <c r="B65" s="76">
        <v>90</v>
      </c>
      <c r="C65" s="76">
        <v>700</v>
      </c>
      <c r="D65" s="76">
        <v>0</v>
      </c>
      <c r="E65" s="85">
        <v>45889</v>
      </c>
      <c r="F65" s="76">
        <v>557</v>
      </c>
      <c r="G65" s="75" t="s">
        <v>405</v>
      </c>
      <c r="H65" s="75" t="s">
        <v>407</v>
      </c>
      <c r="I65" s="75" t="s">
        <v>408</v>
      </c>
      <c r="J65" s="75" t="s">
        <v>409</v>
      </c>
      <c r="K65" s="68">
        <v>500</v>
      </c>
      <c r="L65" s="86"/>
      <c r="M65" s="68">
        <v>500</v>
      </c>
      <c r="N65" s="85"/>
      <c r="O65" s="85">
        <v>46171</v>
      </c>
      <c r="P65" s="75" t="s">
        <v>30</v>
      </c>
      <c r="Q65" s="76">
        <v>4</v>
      </c>
      <c r="R65" s="76">
        <v>8</v>
      </c>
      <c r="S65" s="75" t="s">
        <v>46</v>
      </c>
      <c r="T65" s="75" t="s">
        <v>381</v>
      </c>
      <c r="U65" s="75" t="s">
        <v>415</v>
      </c>
      <c r="V65" s="75" t="s">
        <v>416</v>
      </c>
      <c r="W65" s="75" t="s">
        <v>405</v>
      </c>
      <c r="X65" s="75" t="s">
        <v>406</v>
      </c>
      <c r="Y65" s="76">
        <v>6</v>
      </c>
      <c r="Z65" s="75" t="s">
        <v>36</v>
      </c>
      <c r="AA65" s="76">
        <v>364</v>
      </c>
      <c r="AB65" s="75" t="s">
        <v>429</v>
      </c>
      <c r="AC65" s="76">
        <v>295</v>
      </c>
      <c r="AD65" s="76">
        <v>6</v>
      </c>
      <c r="AE65" s="75" t="s">
        <v>382</v>
      </c>
      <c r="AF65" s="76">
        <v>1</v>
      </c>
      <c r="AG65" s="75" t="s">
        <v>418</v>
      </c>
      <c r="AH65" s="76">
        <v>1</v>
      </c>
      <c r="AJ65" s="77" t="s">
        <v>411</v>
      </c>
      <c r="AK65" s="87"/>
      <c r="AL65" s="70" t="s">
        <v>366</v>
      </c>
      <c r="AM65" s="70">
        <v>1</v>
      </c>
      <c r="AN65" s="78" t="s">
        <v>347</v>
      </c>
      <c r="AO65" s="78" t="s">
        <v>334</v>
      </c>
      <c r="AP65" s="79">
        <v>5</v>
      </c>
      <c r="AQ65" s="71" t="str">
        <f>_xlfn.CONCAT(C65,"/",D65)</f>
        <v>700/0</v>
      </c>
      <c r="AR65" s="71" t="str">
        <f>IF(D65=0,"DA CONTRATTO","SPOT")</f>
        <v>DA CONTRATTO</v>
      </c>
      <c r="AS65" s="72" t="str">
        <f>IF(AD65=5,"P","C")</f>
        <v>C</v>
      </c>
      <c r="AT65" s="71">
        <f>VLOOKUP(S65,'FILE PALLETTIZZAZIONI DB SRL'!B:H,5,FALSE)</f>
        <v>6</v>
      </c>
      <c r="AU65" s="71" t="str">
        <f>TEXT(N65,"gggg")</f>
        <v>sabato</v>
      </c>
      <c r="AV65" s="71">
        <f>WEEKNUM(N65)</f>
        <v>0</v>
      </c>
      <c r="AW65" s="71" t="str">
        <f>IF(AND(ISBLANK(N65),AS65="P"), "ATTENZIONE: Data produzione non pianificata", IF(AND(ISBLANK(N65),AS65="C"), "ATTENZIONE: Data arrivo merce acquisti non presente", IF(O65-N65&gt;=AP65, "Data sped. utile INSERITA", "ATTENZIONE: GG. resa non adeguati")))</f>
        <v>ATTENZIONE: Data arrivo merce acquisti non presente</v>
      </c>
      <c r="AX65" s="71" t="str">
        <f ca="1">IF(ISBLANK(O65), "ATTENZIONE: Data non inserita", IF(O65&lt;=param!B2, "ATTENZIONE: Ritardo, Avvertire il cliente", "Data cons. rich. INSERITA"))</f>
        <v>Data cons. rich. INSERITA</v>
      </c>
      <c r="AY65" s="71" t="str">
        <f>IF(OR(ISBLANK(AP65),ISBLANK(AH65)), "ATTENZIONE: Vettore non associato", IF(V65="VETTORE", "Tipo spedizione: VETTORE", IF(V65="DESTINATARIO", "Tipo spedizione: DESTINATARIO", IF(ISBLANK(V65), "ATTENZIONE: Vettore vuoto", "?"))))</f>
        <v>Tipo spedizione: VETTORE</v>
      </c>
      <c r="AZ65" s="71" t="str">
        <f>IF(AM65=1, "Città OK", "ATTENZIONE: CAP non presente")</f>
        <v>Città OK</v>
      </c>
      <c r="BA65" s="73" t="s">
        <v>387</v>
      </c>
      <c r="BB65" s="73" t="str">
        <f ca="1">_xlfn.CONCAT(AW65," - ",AX65," - ",AY65," - ",AZ65," - ","Data: ",BA65)</f>
        <v>ATTENZIONE: Data arrivo merce acquisti non presente - Data cons. rich. INSERITA - Tipo spedizione: VETTORE - Città OK - Data: ATTENZIONE: Giorno congruo presa vettore</v>
      </c>
    </row>
    <row r="66" spans="1:54" x14ac:dyDescent="0.25">
      <c r="A66" s="75" t="s">
        <v>380</v>
      </c>
      <c r="B66" s="76">
        <v>91</v>
      </c>
      <c r="C66" s="76">
        <v>735</v>
      </c>
      <c r="D66" s="76">
        <v>0</v>
      </c>
      <c r="E66" s="85">
        <v>45929</v>
      </c>
      <c r="F66" s="76">
        <v>557</v>
      </c>
      <c r="G66" s="75" t="s">
        <v>405</v>
      </c>
      <c r="H66" s="75" t="s">
        <v>473</v>
      </c>
      <c r="I66" s="75" t="s">
        <v>474</v>
      </c>
      <c r="J66" s="75" t="s">
        <v>475</v>
      </c>
      <c r="K66" s="68">
        <v>250</v>
      </c>
      <c r="L66" s="86"/>
      <c r="M66" s="68">
        <v>250</v>
      </c>
      <c r="N66" s="85"/>
      <c r="O66" s="85">
        <v>45993</v>
      </c>
      <c r="P66" s="75"/>
      <c r="Q66" s="76">
        <v>8</v>
      </c>
      <c r="R66" s="76">
        <v>10</v>
      </c>
      <c r="S66" s="75" t="s">
        <v>312</v>
      </c>
      <c r="T66" s="75" t="s">
        <v>381</v>
      </c>
      <c r="U66" s="75" t="s">
        <v>415</v>
      </c>
      <c r="V66" s="75" t="s">
        <v>416</v>
      </c>
      <c r="W66" s="75" t="s">
        <v>405</v>
      </c>
      <c r="X66" s="75" t="s">
        <v>406</v>
      </c>
      <c r="Y66" s="76">
        <v>6</v>
      </c>
      <c r="Z66" s="75" t="s">
        <v>447</v>
      </c>
      <c r="AA66" s="76">
        <v>135</v>
      </c>
      <c r="AB66" s="75" t="s">
        <v>417</v>
      </c>
      <c r="AC66" s="76">
        <v>215</v>
      </c>
      <c r="AD66" s="76">
        <v>6</v>
      </c>
      <c r="AE66" s="75" t="s">
        <v>382</v>
      </c>
      <c r="AF66" s="76">
        <v>1</v>
      </c>
      <c r="AG66" s="75" t="s">
        <v>418</v>
      </c>
      <c r="AH66" s="76"/>
      <c r="AJ66" s="77" t="s">
        <v>476</v>
      </c>
      <c r="AK66" s="87"/>
      <c r="AL66" s="70" t="s">
        <v>366</v>
      </c>
      <c r="AM66" s="70">
        <v>1</v>
      </c>
      <c r="AN66" s="78"/>
      <c r="AO66" s="78"/>
      <c r="AP66" s="79"/>
      <c r="AQ66" s="71" t="str">
        <f>_xlfn.CONCAT(C66,"/",D66)</f>
        <v>735/0</v>
      </c>
      <c r="AR66" s="71" t="str">
        <f>IF(D66=0,"DA CONTRATTO","SPOT")</f>
        <v>DA CONTRATTO</v>
      </c>
      <c r="AS66" s="72" t="str">
        <f>IF(AD66=5,"P","C")</f>
        <v>C</v>
      </c>
      <c r="AT66" s="71">
        <f>VLOOKUP(S66,'FILE PALLETTIZZAZIONI DB SRL'!B:H,5,FALSE)</f>
        <v>2</v>
      </c>
      <c r="AU66" s="71" t="str">
        <f>TEXT(N66,"gggg")</f>
        <v>sabato</v>
      </c>
      <c r="AV66" s="71">
        <f>WEEKNUM(N66)</f>
        <v>0</v>
      </c>
      <c r="AW66" s="71" t="str">
        <f>IF(AND(ISBLANK(N66),AS66="P"), "ATTENZIONE: Data produzione non pianificata", IF(AND(ISBLANK(N66),AS66="C"), "ATTENZIONE: Data arrivo merce acquisti non presente", IF(O66-N66&gt;=AP66, "Data sped. utile INSERITA", "ATTENZIONE: GG. resa non adeguati")))</f>
        <v>ATTENZIONE: Data arrivo merce acquisti non presente</v>
      </c>
      <c r="AX66" s="71" t="str">
        <f ca="1">IF(ISBLANK(O66), "ATTENZIONE: Data non inserita", IF(O66&lt;=param!B2, "ATTENZIONE: Ritardo, Avvertire il cliente", "Data cons. rich. INSERITA"))</f>
        <v>Data cons. rich. INSERITA</v>
      </c>
      <c r="AY66" s="71" t="str">
        <f>IF(OR(ISBLANK(AP66),ISBLANK(AH66)), "ATTENZIONE: Vettore non associato", IF(V66="VETTORE", "Tipo spedizione: VETTORE", IF(V66="DESTINATARIO", "Tipo spedizione: DESTINATARIO", IF(ISBLANK(V66), "ATTENZIONE: Vettore vuoto", "?"))))</f>
        <v>ATTENZIONE: Vettore non associato</v>
      </c>
      <c r="AZ66" s="71" t="str">
        <f>IF(AM66=1, "Città OK", "ATTENZIONE: CAP non presente")</f>
        <v>Città OK</v>
      </c>
      <c r="BA66" s="73" t="s">
        <v>387</v>
      </c>
      <c r="BB66" s="73" t="str">
        <f ca="1">_xlfn.CONCAT(AW66," - ",AX66," - ",AY66," - ",AZ66," - ","Data: ",BA66)</f>
        <v>ATTENZIONE: Data arrivo merce acquisti non presente - Data cons. rich. INSERITA - ATTENZIONE: Vettore non associato - Città OK - Data: ATTENZIONE: Giorno congruo presa vettore</v>
      </c>
    </row>
    <row r="67" spans="1:54" x14ac:dyDescent="0.25">
      <c r="A67" s="75" t="s">
        <v>380</v>
      </c>
      <c r="B67" s="76">
        <v>92</v>
      </c>
      <c r="C67" s="76">
        <v>789</v>
      </c>
      <c r="D67" s="76">
        <v>0</v>
      </c>
      <c r="E67" s="85">
        <v>45966</v>
      </c>
      <c r="F67" s="76">
        <v>557</v>
      </c>
      <c r="G67" s="75" t="s">
        <v>405</v>
      </c>
      <c r="H67" s="75" t="s">
        <v>473</v>
      </c>
      <c r="I67" s="75" t="s">
        <v>474</v>
      </c>
      <c r="J67" s="75" t="s">
        <v>475</v>
      </c>
      <c r="K67" s="68">
        <v>100</v>
      </c>
      <c r="L67" s="86"/>
      <c r="M67" s="68">
        <v>100</v>
      </c>
      <c r="N67" s="85"/>
      <c r="O67" s="85">
        <v>45993</v>
      </c>
      <c r="P67" s="75" t="s">
        <v>59</v>
      </c>
      <c r="Q67" s="76">
        <v>8</v>
      </c>
      <c r="R67" s="76">
        <v>10</v>
      </c>
      <c r="S67" s="75" t="s">
        <v>312</v>
      </c>
      <c r="T67" s="75" t="s">
        <v>381</v>
      </c>
      <c r="U67" s="75" t="s">
        <v>415</v>
      </c>
      <c r="V67" s="75" t="s">
        <v>416</v>
      </c>
      <c r="W67" s="75" t="s">
        <v>405</v>
      </c>
      <c r="X67" s="75" t="s">
        <v>406</v>
      </c>
      <c r="Y67" s="76">
        <v>6</v>
      </c>
      <c r="Z67" s="75" t="s">
        <v>447</v>
      </c>
      <c r="AA67" s="76">
        <v>135</v>
      </c>
      <c r="AB67" s="75" t="s">
        <v>417</v>
      </c>
      <c r="AC67" s="76">
        <v>215</v>
      </c>
      <c r="AD67" s="76">
        <v>6</v>
      </c>
      <c r="AE67" s="75" t="s">
        <v>382</v>
      </c>
      <c r="AF67" s="76">
        <v>1</v>
      </c>
      <c r="AG67" s="75" t="s">
        <v>418</v>
      </c>
      <c r="AH67" s="76">
        <v>45</v>
      </c>
      <c r="AJ67" s="77" t="s">
        <v>476</v>
      </c>
      <c r="AK67" s="87"/>
      <c r="AL67" s="70" t="s">
        <v>366</v>
      </c>
      <c r="AM67" s="70">
        <v>1</v>
      </c>
      <c r="AN67" s="78"/>
      <c r="AO67" s="78"/>
      <c r="AP67" s="79"/>
      <c r="AQ67" s="71" t="str">
        <f>_xlfn.CONCAT(C67,"/",D67)</f>
        <v>789/0</v>
      </c>
      <c r="AR67" s="71" t="str">
        <f>IF(D67=0,"DA CONTRATTO","SPOT")</f>
        <v>DA CONTRATTO</v>
      </c>
      <c r="AS67" s="72" t="str">
        <f>IF(AD67=5,"P","C")</f>
        <v>C</v>
      </c>
      <c r="AT67" s="71">
        <f>VLOOKUP(S67,'FILE PALLETTIZZAZIONI DB SRL'!B:H,5,FALSE)</f>
        <v>2</v>
      </c>
      <c r="AU67" s="71" t="str">
        <f>TEXT(N67,"gggg")</f>
        <v>sabato</v>
      </c>
      <c r="AV67" s="71">
        <f>WEEKNUM(N67)</f>
        <v>0</v>
      </c>
      <c r="AW67" s="71" t="str">
        <f>IF(AND(ISBLANK(N67),AS67="P"), "ATTENZIONE: Data produzione non pianificata", IF(AND(ISBLANK(N67),AS67="C"), "ATTENZIONE: Data arrivo merce acquisti non presente", IF(O67-N67&gt;=AP67, "Data sped. utile INSERITA", "ATTENZIONE: GG. resa non adeguati")))</f>
        <v>ATTENZIONE: Data arrivo merce acquisti non presente</v>
      </c>
      <c r="AX67" s="71" t="str">
        <f ca="1">IF(ISBLANK(O67), "ATTENZIONE: Data non inserita", IF(O67&lt;=param!B2, "ATTENZIONE: Ritardo, Avvertire il cliente", "Data cons. rich. INSERITA"))</f>
        <v>Data cons. rich. INSERITA</v>
      </c>
      <c r="AY67" s="71" t="str">
        <f>IF(OR(ISBLANK(AP67),ISBLANK(AH67)), "ATTENZIONE: Vettore non associato", IF(V67="VETTORE", "Tipo spedizione: VETTORE", IF(V67="DESTINATARIO", "Tipo spedizione: DESTINATARIO", IF(ISBLANK(V67), "ATTENZIONE: Vettore vuoto", "?"))))</f>
        <v>ATTENZIONE: Vettore non associato</v>
      </c>
      <c r="AZ67" s="71" t="str">
        <f>IF(AM67=1, "Città OK", "ATTENZIONE: CAP non presente")</f>
        <v>Città OK</v>
      </c>
      <c r="BA67" s="73" t="s">
        <v>387</v>
      </c>
      <c r="BB67" s="73" t="str">
        <f ca="1">_xlfn.CONCAT(AW67," - ",AX67," - ",AY67," - ",AZ67," - ","Data: ",BA67)</f>
        <v>ATTENZIONE: Data arrivo merce acquisti non presente - Data cons. rich. INSERITA - ATTENZIONE: Vettore non associato - Città OK - Data: ATTENZIONE: Giorno congruo presa vettore</v>
      </c>
    </row>
    <row r="68" spans="1:54" x14ac:dyDescent="0.25">
      <c r="A68" s="75" t="s">
        <v>380</v>
      </c>
      <c r="B68" s="76">
        <v>93</v>
      </c>
      <c r="C68" s="76">
        <v>715</v>
      </c>
      <c r="D68" s="76">
        <v>0</v>
      </c>
      <c r="E68" s="85">
        <v>45912</v>
      </c>
      <c r="F68" s="76">
        <v>568</v>
      </c>
      <c r="G68" s="75" t="s">
        <v>440</v>
      </c>
      <c r="H68" s="75" t="s">
        <v>441</v>
      </c>
      <c r="I68" s="75" t="s">
        <v>442</v>
      </c>
      <c r="J68" s="75" t="s">
        <v>400</v>
      </c>
      <c r="K68" s="68">
        <v>2000</v>
      </c>
      <c r="L68" s="86"/>
      <c r="M68" s="68">
        <v>2000</v>
      </c>
      <c r="N68" s="85"/>
      <c r="O68" s="85">
        <v>46009</v>
      </c>
      <c r="P68" s="75" t="s">
        <v>31</v>
      </c>
      <c r="Q68" s="76">
        <v>8</v>
      </c>
      <c r="R68" s="76">
        <v>10</v>
      </c>
      <c r="S68" s="75" t="s">
        <v>47</v>
      </c>
      <c r="T68" s="75" t="s">
        <v>381</v>
      </c>
      <c r="U68" s="75" t="s">
        <v>415</v>
      </c>
      <c r="V68" s="75" t="s">
        <v>416</v>
      </c>
      <c r="W68" s="75" t="s">
        <v>443</v>
      </c>
      <c r="X68" s="75" t="s">
        <v>444</v>
      </c>
      <c r="Y68" s="76">
        <v>5</v>
      </c>
      <c r="Z68" s="75" t="s">
        <v>419</v>
      </c>
      <c r="AA68" s="76">
        <v>870</v>
      </c>
      <c r="AB68" s="75" t="s">
        <v>420</v>
      </c>
      <c r="AC68" s="76">
        <v>235</v>
      </c>
      <c r="AD68" s="76">
        <v>5</v>
      </c>
      <c r="AE68" s="75" t="s">
        <v>383</v>
      </c>
      <c r="AF68" s="76">
        <v>1</v>
      </c>
      <c r="AG68" s="75" t="s">
        <v>418</v>
      </c>
      <c r="AH68" s="76">
        <v>2</v>
      </c>
      <c r="AJ68" s="77" t="s">
        <v>445</v>
      </c>
      <c r="AK68" s="87"/>
      <c r="AL68" s="70" t="s">
        <v>367</v>
      </c>
      <c r="AM68" s="70">
        <v>1</v>
      </c>
      <c r="AN68" s="78"/>
      <c r="AO68" s="78"/>
      <c r="AP68" s="79"/>
      <c r="AQ68" s="71" t="str">
        <f>_xlfn.CONCAT(C68,"/",D68)</f>
        <v>715/0</v>
      </c>
      <c r="AR68" s="71" t="str">
        <f>IF(D68=0,"DA CONTRATTO","SPOT")</f>
        <v>DA CONTRATTO</v>
      </c>
      <c r="AS68" s="72" t="str">
        <f>IF(AD68=5,"P","C")</f>
        <v>P</v>
      </c>
      <c r="AT68" s="71">
        <f>VLOOKUP(S68,'FILE PALLETTIZZAZIONI DB SRL'!B:H,5,FALSE)</f>
        <v>2</v>
      </c>
      <c r="AU68" s="71" t="str">
        <f>TEXT(N68,"gggg")</f>
        <v>sabato</v>
      </c>
      <c r="AV68" s="71">
        <f>WEEKNUM(N68)</f>
        <v>0</v>
      </c>
      <c r="AW68" s="71" t="str">
        <f>IF(AND(ISBLANK(N68),AS68="P"), "ATTENZIONE: Data produzione non pianificata", IF(AND(ISBLANK(N68),AS68="C"), "ATTENZIONE: Data arrivo merce acquisti non presente", IF(O68-N68&gt;=AP68, "Data sped. utile INSERITA", "ATTENZIONE: GG. resa non adeguati")))</f>
        <v>ATTENZIONE: Data produzione non pianificata</v>
      </c>
      <c r="AX68" s="71" t="str">
        <f ca="1">IF(ISBLANK(O68), "ATTENZIONE: Data non inserita", IF(O68&lt;=param!B2, "ATTENZIONE: Ritardo, Avvertire il cliente", "Data cons. rich. INSERITA"))</f>
        <v>Data cons. rich. INSERITA</v>
      </c>
      <c r="AY68" s="71" t="str">
        <f>IF(OR(ISBLANK(AP68),ISBLANK(AH68)), "ATTENZIONE: Vettore non associato", IF(V68="VETTORE", "Tipo spedizione: VETTORE", IF(V68="DESTINATARIO", "Tipo spedizione: DESTINATARIO", IF(ISBLANK(V68), "ATTENZIONE: Vettore vuoto", "?"))))</f>
        <v>ATTENZIONE: Vettore non associato</v>
      </c>
      <c r="AZ68" s="71" t="str">
        <f>IF(AM68=1, "Città OK", "ATTENZIONE: CAP non presente")</f>
        <v>Città OK</v>
      </c>
      <c r="BA68" s="73" t="s">
        <v>387</v>
      </c>
      <c r="BB68" s="73" t="str">
        <f ca="1">_xlfn.CONCAT(AW68," - ",AX68," - ",AY68," - ",AZ68," - ","Data: ",BA68)</f>
        <v>ATTENZIONE: Data produzione non pianificata - Data cons. rich. INSERITA - ATTENZIONE: Vettore non associato - Città OK - Data: ATTENZIONE: Giorno congruo presa vettore</v>
      </c>
    </row>
    <row r="69" spans="1:54" x14ac:dyDescent="0.25">
      <c r="A69" s="75" t="s">
        <v>380</v>
      </c>
      <c r="B69" s="76">
        <v>94</v>
      </c>
      <c r="C69" s="76">
        <v>763</v>
      </c>
      <c r="D69" s="76">
        <v>0</v>
      </c>
      <c r="E69" s="85">
        <v>45952</v>
      </c>
      <c r="F69" s="76">
        <v>606</v>
      </c>
      <c r="G69" s="75" t="s">
        <v>498</v>
      </c>
      <c r="H69" s="75" t="s">
        <v>499</v>
      </c>
      <c r="I69" s="75" t="s">
        <v>500</v>
      </c>
      <c r="J69" s="75" t="s">
        <v>501</v>
      </c>
      <c r="K69" s="68">
        <v>20000</v>
      </c>
      <c r="L69" s="86"/>
      <c r="M69" s="68">
        <v>20000</v>
      </c>
      <c r="N69" s="85"/>
      <c r="O69" s="85">
        <v>45992</v>
      </c>
      <c r="P69" s="75" t="s">
        <v>40</v>
      </c>
      <c r="Q69" s="76">
        <v>8</v>
      </c>
      <c r="R69" s="76">
        <v>10</v>
      </c>
      <c r="S69" s="75" t="s">
        <v>362</v>
      </c>
      <c r="T69" s="75" t="s">
        <v>381</v>
      </c>
      <c r="U69" s="75" t="s">
        <v>415</v>
      </c>
      <c r="V69" s="75" t="s">
        <v>416</v>
      </c>
      <c r="W69" s="75" t="s">
        <v>502</v>
      </c>
      <c r="X69" s="75" t="s">
        <v>503</v>
      </c>
      <c r="Y69" s="76">
        <v>5</v>
      </c>
      <c r="Z69" s="75" t="s">
        <v>419</v>
      </c>
      <c r="AA69" s="76">
        <v>870</v>
      </c>
      <c r="AB69" s="75" t="s">
        <v>420</v>
      </c>
      <c r="AC69" s="76">
        <v>235</v>
      </c>
      <c r="AD69" s="76">
        <v>5</v>
      </c>
      <c r="AE69" s="75" t="s">
        <v>383</v>
      </c>
      <c r="AF69" s="76">
        <v>1</v>
      </c>
      <c r="AG69" s="75" t="s">
        <v>418</v>
      </c>
      <c r="AH69" s="76">
        <v>5</v>
      </c>
      <c r="AJ69" s="77" t="s">
        <v>504</v>
      </c>
      <c r="AK69" s="87">
        <v>46010</v>
      </c>
      <c r="AL69" s="70" t="s">
        <v>366</v>
      </c>
      <c r="AM69" s="70">
        <v>1</v>
      </c>
      <c r="AN69" s="78" t="s">
        <v>347</v>
      </c>
      <c r="AO69" s="78" t="s">
        <v>334</v>
      </c>
      <c r="AP69" s="79">
        <v>6</v>
      </c>
      <c r="AQ69" s="71" t="str">
        <f>_xlfn.CONCAT(C69,"/",D69)</f>
        <v>763/0</v>
      </c>
      <c r="AR69" s="71" t="str">
        <f>IF(D69=0,"DA CONTRATTO","SPOT")</f>
        <v>DA CONTRATTO</v>
      </c>
      <c r="AS69" s="72" t="str">
        <f>IF(AD69=5,"P","C")</f>
        <v>P</v>
      </c>
      <c r="AT69" s="71">
        <f>VLOOKUP(S69,'FILE PALLETTIZZAZIONI DB SRL'!B:H,5,FALSE)</f>
        <v>1</v>
      </c>
      <c r="AU69" s="71" t="str">
        <f>TEXT(N69,"gggg")</f>
        <v>sabato</v>
      </c>
      <c r="AV69" s="71">
        <f>WEEKNUM(N69)</f>
        <v>0</v>
      </c>
      <c r="AW69" s="71" t="str">
        <f>IF(AND(ISBLANK(N69),AS69="P"), "ATTENZIONE: Data produzione non pianificata", IF(AND(ISBLANK(N69),AS69="C"), "ATTENZIONE: Data arrivo merce acquisti non presente", IF(O69-N69&gt;=AP69, "Data sped. utile INSERITA", "ATTENZIONE: GG. resa non adeguati")))</f>
        <v>ATTENZIONE: Data produzione non pianificata</v>
      </c>
      <c r="AX69" s="71" t="str">
        <f ca="1">IF(ISBLANK(O69), "ATTENZIONE: Data non inserita", IF(O69&lt;=param!B2, "ATTENZIONE: Ritardo, Avvertire il cliente", "Data cons. rich. INSERITA"))</f>
        <v>Data cons. rich. INSERITA</v>
      </c>
      <c r="AY69" s="71" t="str">
        <f>IF(OR(ISBLANK(AP69),ISBLANK(AH69)), "ATTENZIONE: Vettore non associato", IF(V69="VETTORE", "Tipo spedizione: VETTORE", IF(V69="DESTINATARIO", "Tipo spedizione: DESTINATARIO", IF(ISBLANK(V69), "ATTENZIONE: Vettore vuoto", "?"))))</f>
        <v>Tipo spedizione: VETTORE</v>
      </c>
      <c r="AZ69" s="71" t="str">
        <f>IF(AM69=1, "Città OK", "ATTENZIONE: CAP non presente")</f>
        <v>Città OK</v>
      </c>
      <c r="BA69" s="73" t="s">
        <v>387</v>
      </c>
      <c r="BB69" s="73" t="str">
        <f ca="1">_xlfn.CONCAT(AW69," - ",AX69," - ",AY69," - ",AZ69," - ","Data: ",BA69)</f>
        <v>ATTENZIONE: Data produzione non pianificata - Data cons. rich. INSERITA - Tipo spedizione: VETTORE - Città OK - Data: ATTENZIONE: Giorno congruo presa vettore</v>
      </c>
    </row>
    <row r="70" spans="1:54" x14ac:dyDescent="0.25">
      <c r="A70" s="75" t="s">
        <v>380</v>
      </c>
      <c r="B70" s="76">
        <v>95</v>
      </c>
      <c r="C70" s="76">
        <v>764</v>
      </c>
      <c r="D70" s="76">
        <v>0</v>
      </c>
      <c r="E70" s="85">
        <v>45952</v>
      </c>
      <c r="F70" s="76">
        <v>606</v>
      </c>
      <c r="G70" s="75" t="s">
        <v>498</v>
      </c>
      <c r="H70" s="75" t="s">
        <v>499</v>
      </c>
      <c r="I70" s="75" t="s">
        <v>500</v>
      </c>
      <c r="J70" s="75" t="s">
        <v>501</v>
      </c>
      <c r="K70" s="68">
        <v>20000</v>
      </c>
      <c r="L70" s="86"/>
      <c r="M70" s="68">
        <v>20000</v>
      </c>
      <c r="N70" s="85"/>
      <c r="O70" s="85">
        <v>46000</v>
      </c>
      <c r="P70" s="75"/>
      <c r="Q70" s="76">
        <v>8</v>
      </c>
      <c r="R70" s="76">
        <v>10</v>
      </c>
      <c r="S70" s="75" t="s">
        <v>362</v>
      </c>
      <c r="T70" s="75" t="s">
        <v>381</v>
      </c>
      <c r="U70" s="75" t="s">
        <v>415</v>
      </c>
      <c r="V70" s="75" t="s">
        <v>416</v>
      </c>
      <c r="W70" s="75" t="s">
        <v>502</v>
      </c>
      <c r="X70" s="75" t="s">
        <v>503</v>
      </c>
      <c r="Y70" s="76">
        <v>5</v>
      </c>
      <c r="Z70" s="75" t="s">
        <v>419</v>
      </c>
      <c r="AA70" s="76">
        <v>870</v>
      </c>
      <c r="AB70" s="75" t="s">
        <v>420</v>
      </c>
      <c r="AC70" s="76">
        <v>235</v>
      </c>
      <c r="AD70" s="76">
        <v>5</v>
      </c>
      <c r="AE70" s="75" t="s">
        <v>383</v>
      </c>
      <c r="AF70" s="76">
        <v>1</v>
      </c>
      <c r="AG70" s="75" t="s">
        <v>418</v>
      </c>
      <c r="AH70" s="76"/>
      <c r="AJ70" s="77" t="s">
        <v>505</v>
      </c>
      <c r="AK70" s="87"/>
      <c r="AL70" s="70" t="s">
        <v>366</v>
      </c>
      <c r="AM70" s="70">
        <v>1</v>
      </c>
      <c r="AN70" s="78"/>
      <c r="AO70" s="78"/>
      <c r="AP70" s="79"/>
      <c r="AQ70" s="71" t="str">
        <f>_xlfn.CONCAT(C70,"/",D70)</f>
        <v>764/0</v>
      </c>
      <c r="AR70" s="71" t="str">
        <f>IF(D70=0,"DA CONTRATTO","SPOT")</f>
        <v>DA CONTRATTO</v>
      </c>
      <c r="AS70" s="72" t="str">
        <f>IF(AD70=5,"P","C")</f>
        <v>P</v>
      </c>
      <c r="AT70" s="71">
        <f>VLOOKUP(S70,'FILE PALLETTIZZAZIONI DB SRL'!B:H,5,FALSE)</f>
        <v>1</v>
      </c>
      <c r="AU70" s="71" t="str">
        <f>TEXT(N70,"gggg")</f>
        <v>sabato</v>
      </c>
      <c r="AV70" s="71">
        <f>WEEKNUM(N70)</f>
        <v>0</v>
      </c>
      <c r="AW70" s="71" t="str">
        <f>IF(AND(ISBLANK(N70),AS70="P"), "ATTENZIONE: Data produzione non pianificata", IF(AND(ISBLANK(N70),AS70="C"), "ATTENZIONE: Data arrivo merce acquisti non presente", IF(O70-N70&gt;=AP70, "Data sped. utile INSERITA", "ATTENZIONE: GG. resa non adeguati")))</f>
        <v>ATTENZIONE: Data produzione non pianificata</v>
      </c>
      <c r="AX70" s="71" t="str">
        <f ca="1">IF(ISBLANK(O70), "ATTENZIONE: Data non inserita", IF(O70&lt;=param!B2, "ATTENZIONE: Ritardo, Avvertire il cliente", "Data cons. rich. INSERITA"))</f>
        <v>Data cons. rich. INSERITA</v>
      </c>
      <c r="AY70" s="71" t="str">
        <f>IF(OR(ISBLANK(AP70),ISBLANK(AH70)), "ATTENZIONE: Vettore non associato", IF(V70="VETTORE", "Tipo spedizione: VETTORE", IF(V70="DESTINATARIO", "Tipo spedizione: DESTINATARIO", IF(ISBLANK(V70), "ATTENZIONE: Vettore vuoto", "?"))))</f>
        <v>ATTENZIONE: Vettore non associato</v>
      </c>
      <c r="AZ70" s="71" t="str">
        <f>IF(AM70=1, "Città OK", "ATTENZIONE: CAP non presente")</f>
        <v>Città OK</v>
      </c>
      <c r="BA70" s="73" t="s">
        <v>387</v>
      </c>
      <c r="BB70" s="73" t="str">
        <f ca="1">_xlfn.CONCAT(AW70," - ",AX70," - ",AY70," - ",AZ70," - ","Data: ",BA70)</f>
        <v>ATTENZIONE: Data produzione non pianificata - Data cons. rich. INSERITA - ATTENZIONE: Vettore non associato - Città OK - Data: ATTENZIONE: Giorno congruo presa vettore</v>
      </c>
    </row>
    <row r="71" spans="1:54" x14ac:dyDescent="0.25">
      <c r="A71" s="75" t="s">
        <v>380</v>
      </c>
      <c r="B71" s="76">
        <v>96</v>
      </c>
      <c r="C71" s="76">
        <v>781</v>
      </c>
      <c r="D71" s="76">
        <v>0</v>
      </c>
      <c r="E71" s="85">
        <v>45961</v>
      </c>
      <c r="F71" s="76">
        <v>614</v>
      </c>
      <c r="G71" s="75" t="s">
        <v>568</v>
      </c>
      <c r="H71" s="75" t="s">
        <v>525</v>
      </c>
      <c r="I71" s="75" t="s">
        <v>569</v>
      </c>
      <c r="J71" s="75" t="s">
        <v>400</v>
      </c>
      <c r="K71" s="68">
        <v>2000</v>
      </c>
      <c r="L71" s="86"/>
      <c r="M71" s="68">
        <v>2000</v>
      </c>
      <c r="N71" s="85"/>
      <c r="O71" s="85">
        <v>46041</v>
      </c>
      <c r="P71" s="75" t="s">
        <v>414</v>
      </c>
      <c r="Q71" s="76">
        <v>8</v>
      </c>
      <c r="R71" s="76">
        <v>10</v>
      </c>
      <c r="S71" s="75" t="s">
        <v>243</v>
      </c>
      <c r="T71" s="75" t="s">
        <v>381</v>
      </c>
      <c r="U71" s="75" t="s">
        <v>415</v>
      </c>
      <c r="V71" s="75" t="s">
        <v>416</v>
      </c>
      <c r="W71" s="75" t="s">
        <v>570</v>
      </c>
      <c r="X71" s="75" t="s">
        <v>571</v>
      </c>
      <c r="Y71" s="76">
        <v>5</v>
      </c>
      <c r="Z71" s="75" t="s">
        <v>419</v>
      </c>
      <c r="AA71" s="76">
        <v>870</v>
      </c>
      <c r="AB71" s="75" t="s">
        <v>420</v>
      </c>
      <c r="AC71" s="76">
        <v>235</v>
      </c>
      <c r="AD71" s="76">
        <v>5</v>
      </c>
      <c r="AE71" s="75" t="s">
        <v>383</v>
      </c>
      <c r="AF71" s="76">
        <v>1</v>
      </c>
      <c r="AG71" s="75" t="s">
        <v>418</v>
      </c>
      <c r="AH71" s="76">
        <v>70</v>
      </c>
      <c r="AJ71" s="77" t="s">
        <v>572</v>
      </c>
      <c r="AK71" s="87"/>
      <c r="AL71" s="70" t="s">
        <v>367</v>
      </c>
      <c r="AM71" s="70">
        <v>1</v>
      </c>
      <c r="AN71" s="78"/>
      <c r="AO71" s="78"/>
      <c r="AP71" s="79"/>
      <c r="AQ71" s="71" t="str">
        <f>_xlfn.CONCAT(C71,"/",D71)</f>
        <v>781/0</v>
      </c>
      <c r="AR71" s="71" t="str">
        <f>IF(D71=0,"DA CONTRATTO","SPOT")</f>
        <v>DA CONTRATTO</v>
      </c>
      <c r="AS71" s="72" t="str">
        <f>IF(AD71=5,"P","C")</f>
        <v>P</v>
      </c>
      <c r="AT71" s="71">
        <f>VLOOKUP(S71,'FILE PALLETTIZZAZIONI DB SRL'!B:H,5,FALSE)</f>
        <v>25</v>
      </c>
      <c r="AU71" s="71" t="str">
        <f>TEXT(N71,"gggg")</f>
        <v>sabato</v>
      </c>
      <c r="AV71" s="71">
        <f>WEEKNUM(N71)</f>
        <v>0</v>
      </c>
      <c r="AW71" s="71" t="str">
        <f>IF(AND(ISBLANK(N71),AS71="P"), "ATTENZIONE: Data produzione non pianificata", IF(AND(ISBLANK(N71),AS71="C"), "ATTENZIONE: Data arrivo merce acquisti non presente", IF(O71-N71&gt;=AP71, "Data sped. utile INSERITA", "ATTENZIONE: GG. resa non adeguati")))</f>
        <v>ATTENZIONE: Data produzione non pianificata</v>
      </c>
      <c r="AX71" s="71" t="str">
        <f ca="1">IF(ISBLANK(O71), "ATTENZIONE: Data non inserita", IF(O71&lt;=param!B2, "ATTENZIONE: Ritardo, Avvertire il cliente", "Data cons. rich. INSERITA"))</f>
        <v>Data cons. rich. INSERITA</v>
      </c>
      <c r="AY71" s="71" t="str">
        <f>IF(OR(ISBLANK(AP71),ISBLANK(AH71)), "ATTENZIONE: Vettore non associato", IF(V71="VETTORE", "Tipo spedizione: VETTORE", IF(V71="DESTINATARIO", "Tipo spedizione: DESTINATARIO", IF(ISBLANK(V71), "ATTENZIONE: Vettore vuoto", "?"))))</f>
        <v>ATTENZIONE: Vettore non associato</v>
      </c>
      <c r="AZ71" s="71" t="str">
        <f>IF(AM71=1, "Città OK", "ATTENZIONE: CAP non presente")</f>
        <v>Città OK</v>
      </c>
      <c r="BA71" s="73" t="s">
        <v>387</v>
      </c>
      <c r="BB71" s="73" t="str">
        <f ca="1">_xlfn.CONCAT(AW71," - ",AX71," - ",AY71," - ",AZ71," - ","Data: ",BA71)</f>
        <v>ATTENZIONE: Data produzione non pianificata - Data cons. rich. INSERITA - ATTENZIONE: Vettore non associato - Città OK - Data: ATTENZIONE: Giorno congruo presa vettore</v>
      </c>
    </row>
    <row r="72" spans="1:54" x14ac:dyDescent="0.25">
      <c r="A72" s="75" t="s">
        <v>380</v>
      </c>
      <c r="B72" s="76">
        <v>97</v>
      </c>
      <c r="C72" s="76">
        <v>816</v>
      </c>
      <c r="D72" s="76">
        <v>0</v>
      </c>
      <c r="E72" s="85">
        <v>45978</v>
      </c>
      <c r="F72" s="76">
        <v>614</v>
      </c>
      <c r="G72" s="75" t="s">
        <v>568</v>
      </c>
      <c r="H72" s="75" t="s">
        <v>809</v>
      </c>
      <c r="I72" s="75" t="s">
        <v>810</v>
      </c>
      <c r="J72" s="75" t="s">
        <v>811</v>
      </c>
      <c r="K72" s="68">
        <v>10000</v>
      </c>
      <c r="L72" s="86"/>
      <c r="M72" s="68">
        <v>10000</v>
      </c>
      <c r="N72" s="85"/>
      <c r="O72" s="85">
        <v>46029</v>
      </c>
      <c r="P72" s="75" t="s">
        <v>31</v>
      </c>
      <c r="Q72" s="76"/>
      <c r="R72" s="76"/>
      <c r="S72" s="75" t="s">
        <v>362</v>
      </c>
      <c r="T72" s="75" t="s">
        <v>381</v>
      </c>
      <c r="U72" s="75" t="s">
        <v>415</v>
      </c>
      <c r="V72" s="75" t="s">
        <v>416</v>
      </c>
      <c r="W72" s="75" t="s">
        <v>570</v>
      </c>
      <c r="X72" s="75" t="s">
        <v>571</v>
      </c>
      <c r="Y72" s="76">
        <v>6</v>
      </c>
      <c r="Z72" s="75" t="s">
        <v>36</v>
      </c>
      <c r="AA72" s="76">
        <v>379</v>
      </c>
      <c r="AB72" s="75" t="s">
        <v>812</v>
      </c>
      <c r="AC72" s="76">
        <v>295</v>
      </c>
      <c r="AD72" s="76">
        <v>6</v>
      </c>
      <c r="AE72" s="75" t="s">
        <v>382</v>
      </c>
      <c r="AF72" s="76">
        <v>1</v>
      </c>
      <c r="AG72" s="75" t="s">
        <v>418</v>
      </c>
      <c r="AH72" s="76">
        <v>2</v>
      </c>
      <c r="AJ72" s="77" t="s">
        <v>813</v>
      </c>
      <c r="AK72" s="87"/>
      <c r="AL72" s="70" t="s">
        <v>367</v>
      </c>
      <c r="AM72" s="70">
        <v>1</v>
      </c>
      <c r="AN72" s="78"/>
      <c r="AO72" s="78"/>
      <c r="AP72" s="79"/>
      <c r="AQ72" s="71" t="str">
        <f>_xlfn.CONCAT(C72,"/",D72)</f>
        <v>816/0</v>
      </c>
      <c r="AR72" s="71" t="str">
        <f>IF(D72=0,"DA CONTRATTO","SPOT")</f>
        <v>DA CONTRATTO</v>
      </c>
      <c r="AS72" s="72" t="str">
        <f>IF(AD72=5,"P","C")</f>
        <v>C</v>
      </c>
      <c r="AT72" s="71">
        <f>VLOOKUP(S72,'FILE PALLETTIZZAZIONI DB SRL'!B:H,5,FALSE)</f>
        <v>1</v>
      </c>
      <c r="AU72" s="71" t="str">
        <f>TEXT(N72,"gggg")</f>
        <v>sabato</v>
      </c>
      <c r="AV72" s="71">
        <f>WEEKNUM(N72)</f>
        <v>0</v>
      </c>
      <c r="AW72" s="71" t="str">
        <f>IF(AND(ISBLANK(N72),AS72="P"), "ATTENZIONE: Data produzione non pianificata", IF(AND(ISBLANK(N72),AS72="C"), "ATTENZIONE: Data arrivo merce acquisti non presente", IF(O72-N72&gt;=AP72, "Data sped. utile INSERITA", "ATTENZIONE: GG. resa non adeguati")))</f>
        <v>ATTENZIONE: Data arrivo merce acquisti non presente</v>
      </c>
      <c r="AX72" s="71" t="str">
        <f ca="1">IF(ISBLANK(O72), "ATTENZIONE: Data non inserita", IF(O72&lt;=param!B2, "ATTENZIONE: Ritardo, Avvertire il cliente", "Data cons. rich. INSERITA"))</f>
        <v>Data cons. rich. INSERITA</v>
      </c>
      <c r="AY72" s="71" t="str">
        <f>IF(OR(ISBLANK(AP72),ISBLANK(AH72)), "ATTENZIONE: Vettore non associato", IF(V72="VETTORE", "Tipo spedizione: VETTORE", IF(V72="DESTINATARIO", "Tipo spedizione: DESTINATARIO", IF(ISBLANK(V72), "ATTENZIONE: Vettore vuoto", "?"))))</f>
        <v>ATTENZIONE: Vettore non associato</v>
      </c>
      <c r="AZ72" s="71" t="str">
        <f>IF(AM72=1, "Città OK", "ATTENZIONE: CAP non presente")</f>
        <v>Città OK</v>
      </c>
      <c r="BA72" s="73" t="s">
        <v>387</v>
      </c>
      <c r="BB72" s="73" t="str">
        <f ca="1">_xlfn.CONCAT(AW72," - ",AX72," - ",AY72," - ",AZ72," - ","Data: ",BA72)</f>
        <v>ATTENZIONE: Data arrivo merce acquisti non presente - Data cons. rich. INSERITA - ATTENZIONE: Vettore non associato - Città OK - Data: ATTENZIONE: Giorno congruo presa vettore</v>
      </c>
    </row>
    <row r="73" spans="1:54" x14ac:dyDescent="0.25">
      <c r="A73" s="75" t="s">
        <v>380</v>
      </c>
      <c r="B73" s="76">
        <v>98</v>
      </c>
      <c r="C73" s="76">
        <v>826</v>
      </c>
      <c r="D73" s="76">
        <v>0</v>
      </c>
      <c r="E73" s="85">
        <v>45979</v>
      </c>
      <c r="F73" s="76">
        <v>614</v>
      </c>
      <c r="G73" s="75" t="s">
        <v>568</v>
      </c>
      <c r="H73" s="75" t="s">
        <v>525</v>
      </c>
      <c r="I73" s="75" t="s">
        <v>569</v>
      </c>
      <c r="J73" s="75" t="s">
        <v>400</v>
      </c>
      <c r="K73" s="68">
        <v>4000</v>
      </c>
      <c r="L73" s="86"/>
      <c r="M73" s="68">
        <v>4000</v>
      </c>
      <c r="N73" s="85"/>
      <c r="O73" s="85">
        <v>46063</v>
      </c>
      <c r="P73" s="75" t="s">
        <v>31</v>
      </c>
      <c r="Q73" s="76">
        <v>8</v>
      </c>
      <c r="R73" s="76">
        <v>10</v>
      </c>
      <c r="S73" s="75" t="s">
        <v>243</v>
      </c>
      <c r="T73" s="75" t="s">
        <v>381</v>
      </c>
      <c r="U73" s="75" t="s">
        <v>415</v>
      </c>
      <c r="V73" s="75" t="s">
        <v>416</v>
      </c>
      <c r="W73" s="75" t="s">
        <v>570</v>
      </c>
      <c r="X73" s="75" t="s">
        <v>571</v>
      </c>
      <c r="Y73" s="76">
        <v>5</v>
      </c>
      <c r="Z73" s="75" t="s">
        <v>419</v>
      </c>
      <c r="AA73" s="76">
        <v>870</v>
      </c>
      <c r="AB73" s="75" t="s">
        <v>420</v>
      </c>
      <c r="AC73" s="76">
        <v>235</v>
      </c>
      <c r="AD73" s="76">
        <v>5</v>
      </c>
      <c r="AE73" s="75" t="s">
        <v>383</v>
      </c>
      <c r="AF73" s="76">
        <v>1</v>
      </c>
      <c r="AG73" s="75" t="s">
        <v>418</v>
      </c>
      <c r="AH73" s="76">
        <v>2</v>
      </c>
      <c r="AJ73" s="77" t="s">
        <v>814</v>
      </c>
      <c r="AK73" s="87"/>
      <c r="AL73" s="70" t="s">
        <v>367</v>
      </c>
      <c r="AM73" s="70">
        <v>1</v>
      </c>
      <c r="AN73" s="78"/>
      <c r="AO73" s="78"/>
      <c r="AP73" s="79"/>
      <c r="AQ73" s="71" t="str">
        <f>_xlfn.CONCAT(C73,"/",D73)</f>
        <v>826/0</v>
      </c>
      <c r="AR73" s="71" t="str">
        <f>IF(D73=0,"DA CONTRATTO","SPOT")</f>
        <v>DA CONTRATTO</v>
      </c>
      <c r="AS73" s="72" t="str">
        <f>IF(AD73=5,"P","C")</f>
        <v>P</v>
      </c>
      <c r="AT73" s="71">
        <f>VLOOKUP(S73,'FILE PALLETTIZZAZIONI DB SRL'!B:H,5,FALSE)</f>
        <v>25</v>
      </c>
      <c r="AU73" s="71" t="str">
        <f>TEXT(N73,"gggg")</f>
        <v>sabato</v>
      </c>
      <c r="AV73" s="71">
        <f>WEEKNUM(N73)</f>
        <v>0</v>
      </c>
      <c r="AW73" s="71" t="str">
        <f>IF(AND(ISBLANK(N73),AS73="P"), "ATTENZIONE: Data produzione non pianificata", IF(AND(ISBLANK(N73),AS73="C"), "ATTENZIONE: Data arrivo merce acquisti non presente", IF(O73-N73&gt;=AP73, "Data sped. utile INSERITA", "ATTENZIONE: GG. resa non adeguati")))</f>
        <v>ATTENZIONE: Data produzione non pianificata</v>
      </c>
      <c r="AX73" s="71" t="str">
        <f ca="1">IF(ISBLANK(O73), "ATTENZIONE: Data non inserita", IF(O73&lt;=param!B2, "ATTENZIONE: Ritardo, Avvertire il cliente", "Data cons. rich. INSERITA"))</f>
        <v>Data cons. rich. INSERITA</v>
      </c>
      <c r="AY73" s="71" t="str">
        <f>IF(OR(ISBLANK(AP73),ISBLANK(AH73)), "ATTENZIONE: Vettore non associato", IF(V73="VETTORE", "Tipo spedizione: VETTORE", IF(V73="DESTINATARIO", "Tipo spedizione: DESTINATARIO", IF(ISBLANK(V73), "ATTENZIONE: Vettore vuoto", "?"))))</f>
        <v>ATTENZIONE: Vettore non associato</v>
      </c>
      <c r="AZ73" s="71" t="str">
        <f>IF(AM73=1, "Città OK", "ATTENZIONE: CAP non presente")</f>
        <v>Città OK</v>
      </c>
      <c r="BA73" s="73" t="s">
        <v>387</v>
      </c>
      <c r="BB73" s="73" t="str">
        <f ca="1">_xlfn.CONCAT(AW73," - ",AX73," - ",AY73," - ",AZ73," - ","Data: ",BA73)</f>
        <v>ATTENZIONE: Data produzione non pianificata - Data cons. rich. INSERITA - ATTENZIONE: Vettore non associato - Città OK - Data: ATTENZIONE: Giorno congruo presa vettore</v>
      </c>
    </row>
    <row r="74" spans="1:54" x14ac:dyDescent="0.25">
      <c r="A74" s="75" t="s">
        <v>380</v>
      </c>
      <c r="B74" s="76">
        <v>100</v>
      </c>
      <c r="C74" s="76">
        <v>788</v>
      </c>
      <c r="D74" s="76">
        <v>0</v>
      </c>
      <c r="E74" s="85">
        <v>45965</v>
      </c>
      <c r="F74" s="76">
        <v>1126</v>
      </c>
      <c r="G74" s="75" t="s">
        <v>464</v>
      </c>
      <c r="H74" s="75" t="s">
        <v>585</v>
      </c>
      <c r="I74" s="75" t="s">
        <v>586</v>
      </c>
      <c r="J74" s="75" t="s">
        <v>587</v>
      </c>
      <c r="K74" s="68">
        <v>1440</v>
      </c>
      <c r="L74" s="86"/>
      <c r="M74" s="68">
        <v>1440</v>
      </c>
      <c r="N74" s="85"/>
      <c r="O74" s="85">
        <v>46002</v>
      </c>
      <c r="P74" s="75" t="s">
        <v>414</v>
      </c>
      <c r="Q74" s="76">
        <v>4</v>
      </c>
      <c r="R74" s="76">
        <v>8</v>
      </c>
      <c r="S74" s="75" t="s">
        <v>46</v>
      </c>
      <c r="T74" s="75" t="s">
        <v>381</v>
      </c>
      <c r="U74" s="75" t="s">
        <v>415</v>
      </c>
      <c r="V74" s="75" t="s">
        <v>416</v>
      </c>
      <c r="W74" s="75" t="s">
        <v>464</v>
      </c>
      <c r="X74" s="75" t="s">
        <v>465</v>
      </c>
      <c r="Y74" s="76">
        <v>6</v>
      </c>
      <c r="Z74" s="75" t="s">
        <v>36</v>
      </c>
      <c r="AA74" s="76">
        <v>347</v>
      </c>
      <c r="AB74" s="75" t="s">
        <v>588</v>
      </c>
      <c r="AC74" s="76">
        <v>295</v>
      </c>
      <c r="AD74" s="76">
        <v>6</v>
      </c>
      <c r="AE74" s="75" t="s">
        <v>382</v>
      </c>
      <c r="AF74" s="76">
        <v>7</v>
      </c>
      <c r="AG74" s="75" t="s">
        <v>482</v>
      </c>
      <c r="AH74" s="76">
        <v>70</v>
      </c>
      <c r="AJ74" s="77" t="s">
        <v>616</v>
      </c>
      <c r="AK74" s="87"/>
      <c r="AL74" s="70" t="s">
        <v>368</v>
      </c>
      <c r="AM74" s="70">
        <v>0</v>
      </c>
      <c r="AN74" s="78"/>
      <c r="AO74" s="78"/>
      <c r="AP74" s="79"/>
      <c r="AQ74" s="71" t="str">
        <f>_xlfn.CONCAT(C74,"/",D74)</f>
        <v>788/0</v>
      </c>
      <c r="AR74" s="71" t="str">
        <f>IF(D74=0,"DA CONTRATTO","SPOT")</f>
        <v>DA CONTRATTO</v>
      </c>
      <c r="AS74" s="72" t="str">
        <f>IF(AD74=5,"P","C")</f>
        <v>C</v>
      </c>
      <c r="AT74" s="71">
        <f>VLOOKUP(S74,'FILE PALLETTIZZAZIONI DB SRL'!B:H,5,FALSE)</f>
        <v>6</v>
      </c>
      <c r="AU74" s="71" t="str">
        <f>TEXT(N74,"gggg")</f>
        <v>sabato</v>
      </c>
      <c r="AV74" s="71">
        <f>WEEKNUM(N74)</f>
        <v>0</v>
      </c>
      <c r="AW74" s="71" t="str">
        <f>IF(AND(ISBLANK(N74),AS74="P"), "ATTENZIONE: Data produzione non pianificata", IF(AND(ISBLANK(N74),AS74="C"), "ATTENZIONE: Data arrivo merce acquisti non presente", IF(O74-N74&gt;=AP74, "Data sped. utile INSERITA", "ATTENZIONE: GG. resa non adeguati")))</f>
        <v>ATTENZIONE: Data arrivo merce acquisti non presente</v>
      </c>
      <c r="AX74" s="71" t="str">
        <f ca="1">IF(ISBLANK(O74), "ATTENZIONE: Data non inserita", IF(O74&lt;=param!B2, "ATTENZIONE: Ritardo, Avvertire il cliente", "Data cons. rich. INSERITA"))</f>
        <v>Data cons. rich. INSERITA</v>
      </c>
      <c r="AY74" s="71" t="str">
        <f>IF(OR(ISBLANK(AP74),ISBLANK(AH74)), "ATTENZIONE: Vettore non associato", IF(V74="VETTORE", "Tipo spedizione: VETTORE", IF(V74="DESTINATARIO", "Tipo spedizione: DESTINATARIO", IF(ISBLANK(V74), "ATTENZIONE: Vettore vuoto", "?"))))</f>
        <v>ATTENZIONE: Vettore non associato</v>
      </c>
      <c r="AZ74" s="71" t="str">
        <f>IF(AM74=1, "Città OK", "ATTENZIONE: CAP non presente")</f>
        <v>ATTENZIONE: CAP non presente</v>
      </c>
      <c r="BA74" s="73" t="s">
        <v>387</v>
      </c>
      <c r="BB74" s="73" t="str">
        <f ca="1">_xlfn.CONCAT(AW74," - ",AX74," - ",AY74," - ",AZ74," - ","Data: ",BA74)</f>
        <v>ATTENZIONE: Data arrivo merce acquisti non presente - Data cons. rich. INSERITA - ATTENZIONE: Vettore non associato - ATTENZIONE: CAP non presente - Data: ATTENZIONE: Giorno congruo presa vettore</v>
      </c>
    </row>
    <row r="75" spans="1:54" x14ac:dyDescent="0.25">
      <c r="A75" s="75" t="s">
        <v>380</v>
      </c>
      <c r="B75" s="76">
        <v>101</v>
      </c>
      <c r="C75" s="76">
        <v>788</v>
      </c>
      <c r="D75" s="76">
        <v>0</v>
      </c>
      <c r="E75" s="85">
        <v>45965</v>
      </c>
      <c r="F75" s="76">
        <v>1126</v>
      </c>
      <c r="G75" s="75" t="s">
        <v>464</v>
      </c>
      <c r="H75" s="75" t="s">
        <v>589</v>
      </c>
      <c r="I75" s="75" t="s">
        <v>590</v>
      </c>
      <c r="J75" s="75" t="s">
        <v>591</v>
      </c>
      <c r="K75" s="68">
        <v>0.5</v>
      </c>
      <c r="L75" s="86"/>
      <c r="M75" s="68">
        <v>0.5</v>
      </c>
      <c r="N75" s="85"/>
      <c r="O75" s="85">
        <v>46002</v>
      </c>
      <c r="P75" s="75" t="s">
        <v>414</v>
      </c>
      <c r="Q75" s="76">
        <v>4</v>
      </c>
      <c r="R75" s="76">
        <v>8</v>
      </c>
      <c r="S75" s="75" t="s">
        <v>466</v>
      </c>
      <c r="T75" s="75" t="s">
        <v>381</v>
      </c>
      <c r="U75" s="75" t="s">
        <v>415</v>
      </c>
      <c r="V75" s="75" t="s">
        <v>416</v>
      </c>
      <c r="W75" s="75" t="s">
        <v>464</v>
      </c>
      <c r="X75" s="75" t="s">
        <v>465</v>
      </c>
      <c r="Y75" s="76">
        <v>6</v>
      </c>
      <c r="Z75" s="75" t="s">
        <v>36</v>
      </c>
      <c r="AA75" s="76">
        <v>347</v>
      </c>
      <c r="AB75" s="75" t="s">
        <v>588</v>
      </c>
      <c r="AC75" s="76">
        <v>295</v>
      </c>
      <c r="AD75" s="76">
        <v>6</v>
      </c>
      <c r="AE75" s="75" t="s">
        <v>382</v>
      </c>
      <c r="AF75" s="76">
        <v>7</v>
      </c>
      <c r="AG75" s="75" t="s">
        <v>482</v>
      </c>
      <c r="AH75" s="76">
        <v>70</v>
      </c>
      <c r="AJ75" s="77" t="s">
        <v>616</v>
      </c>
      <c r="AK75" s="87"/>
      <c r="AL75" s="70" t="s">
        <v>368</v>
      </c>
      <c r="AM75" s="70">
        <v>0</v>
      </c>
      <c r="AN75" s="78"/>
      <c r="AO75" s="78"/>
      <c r="AP75" s="79"/>
      <c r="AQ75" s="71" t="str">
        <f>_xlfn.CONCAT(C75,"/",D75)</f>
        <v>788/0</v>
      </c>
      <c r="AR75" s="71" t="str">
        <f>IF(D75=0,"DA CONTRATTO","SPOT")</f>
        <v>DA CONTRATTO</v>
      </c>
      <c r="AS75" s="72" t="str">
        <f>IF(AD75=5,"P","C")</f>
        <v>C</v>
      </c>
      <c r="AT75" s="71" t="e">
        <f>VLOOKUP(S75,'FILE PALLETTIZZAZIONI DB SRL'!B:H,5,FALSE)</f>
        <v>#N/A</v>
      </c>
      <c r="AU75" s="71" t="str">
        <f>TEXT(N75,"gggg")</f>
        <v>sabato</v>
      </c>
      <c r="AV75" s="71">
        <f>WEEKNUM(N75)</f>
        <v>0</v>
      </c>
      <c r="AW75" s="71" t="str">
        <f>IF(AND(ISBLANK(N75),AS75="P"), "ATTENZIONE: Data produzione non pianificata", IF(AND(ISBLANK(N75),AS75="C"), "ATTENZIONE: Data arrivo merce acquisti non presente", IF(O75-N75&gt;=AP75, "Data sped. utile INSERITA", "ATTENZIONE: GG. resa non adeguati")))</f>
        <v>ATTENZIONE: Data arrivo merce acquisti non presente</v>
      </c>
      <c r="AX75" s="71" t="str">
        <f ca="1">IF(ISBLANK(O75), "ATTENZIONE: Data non inserita", IF(O75&lt;=param!B2, "ATTENZIONE: Ritardo, Avvertire il cliente", "Data cons. rich. INSERITA"))</f>
        <v>Data cons. rich. INSERITA</v>
      </c>
      <c r="AY75" s="71" t="str">
        <f>IF(OR(ISBLANK(AP75),ISBLANK(AH75)), "ATTENZIONE: Vettore non associato", IF(V75="VETTORE", "Tipo spedizione: VETTORE", IF(V75="DESTINATARIO", "Tipo spedizione: DESTINATARIO", IF(ISBLANK(V75), "ATTENZIONE: Vettore vuoto", "?"))))</f>
        <v>ATTENZIONE: Vettore non associato</v>
      </c>
      <c r="AZ75" s="71" t="str">
        <f>IF(AM75=1, "Città OK", "ATTENZIONE: CAP non presente")</f>
        <v>ATTENZIONE: CAP non presente</v>
      </c>
      <c r="BA75" s="73" t="s">
        <v>387</v>
      </c>
      <c r="BB75" s="73" t="str">
        <f ca="1">_xlfn.CONCAT(AW75," - ",AX75," - ",AY75," - ",AZ75," - ","Data: ",BA75)</f>
        <v>ATTENZIONE: Data arrivo merce acquisti non presente - Data cons. rich. INSERITA - ATTENZIONE: Vettore non associato - ATTENZIONE: CAP non presente - Data: ATTENZIONE: Giorno congruo presa vettore</v>
      </c>
    </row>
    <row r="76" spans="1:54" x14ac:dyDescent="0.25">
      <c r="A76" s="75" t="s">
        <v>380</v>
      </c>
      <c r="B76" s="76">
        <v>102</v>
      </c>
      <c r="C76" s="76">
        <v>570</v>
      </c>
      <c r="D76" s="76">
        <v>800</v>
      </c>
      <c r="E76" s="85">
        <v>45978</v>
      </c>
      <c r="F76" s="76">
        <v>1126</v>
      </c>
      <c r="G76" s="75" t="s">
        <v>464</v>
      </c>
      <c r="H76" s="75" t="s">
        <v>815</v>
      </c>
      <c r="I76" s="75" t="s">
        <v>816</v>
      </c>
      <c r="J76" s="75" t="s">
        <v>817</v>
      </c>
      <c r="K76" s="68">
        <v>10000</v>
      </c>
      <c r="L76" s="86"/>
      <c r="M76" s="68">
        <v>10000</v>
      </c>
      <c r="N76" s="85"/>
      <c r="O76" s="85">
        <v>46003</v>
      </c>
      <c r="P76" s="75" t="s">
        <v>30</v>
      </c>
      <c r="Q76" s="76">
        <v>4</v>
      </c>
      <c r="R76" s="76">
        <v>8</v>
      </c>
      <c r="S76" s="75" t="s">
        <v>57</v>
      </c>
      <c r="T76" s="75" t="s">
        <v>381</v>
      </c>
      <c r="U76" s="75" t="s">
        <v>415</v>
      </c>
      <c r="V76" s="75" t="s">
        <v>416</v>
      </c>
      <c r="W76" s="75" t="s">
        <v>464</v>
      </c>
      <c r="X76" s="75" t="s">
        <v>465</v>
      </c>
      <c r="Y76" s="76">
        <v>6</v>
      </c>
      <c r="Z76" s="75" t="s">
        <v>36</v>
      </c>
      <c r="AA76" s="76">
        <v>348</v>
      </c>
      <c r="AB76" s="75" t="s">
        <v>818</v>
      </c>
      <c r="AC76" s="76">
        <v>295</v>
      </c>
      <c r="AD76" s="76">
        <v>6</v>
      </c>
      <c r="AE76" s="75" t="s">
        <v>382</v>
      </c>
      <c r="AF76" s="76">
        <v>1</v>
      </c>
      <c r="AG76" s="75" t="s">
        <v>418</v>
      </c>
      <c r="AH76" s="76">
        <v>1</v>
      </c>
      <c r="AJ76" s="77" t="s">
        <v>819</v>
      </c>
      <c r="AK76" s="87">
        <v>45974</v>
      </c>
      <c r="AL76" s="70" t="s">
        <v>368</v>
      </c>
      <c r="AM76" s="70">
        <v>0</v>
      </c>
      <c r="AN76" s="78" t="s">
        <v>347</v>
      </c>
      <c r="AO76" s="78" t="s">
        <v>334</v>
      </c>
      <c r="AP76" s="79">
        <v>13</v>
      </c>
      <c r="AQ76" s="71" t="str">
        <f>_xlfn.CONCAT(C76,"/",D76)</f>
        <v>570/800</v>
      </c>
      <c r="AR76" s="71" t="str">
        <f>IF(D76=0,"DA CONTRATTO","SPOT")</f>
        <v>SPOT</v>
      </c>
      <c r="AS76" s="72" t="str">
        <f>IF(AD76=5,"P","C")</f>
        <v>C</v>
      </c>
      <c r="AT76" s="71">
        <f>VLOOKUP(S76,'FILE PALLETTIZZAZIONI DB SRL'!B:H,5,FALSE)</f>
        <v>2</v>
      </c>
      <c r="AU76" s="71" t="str">
        <f>TEXT(N76,"gggg")</f>
        <v>sabato</v>
      </c>
      <c r="AV76" s="71">
        <f>WEEKNUM(N76)</f>
        <v>0</v>
      </c>
      <c r="AW76" s="71" t="str">
        <f>IF(AND(ISBLANK(N76),AS76="P"), "ATTENZIONE: Data produzione non pianificata", IF(AND(ISBLANK(N76),AS76="C"), "ATTENZIONE: Data arrivo merce acquisti non presente", IF(O76-N76&gt;=AP76, "Data sped. utile INSERITA", "ATTENZIONE: GG. resa non adeguati")))</f>
        <v>ATTENZIONE: Data arrivo merce acquisti non presente</v>
      </c>
      <c r="AX76" s="71" t="str">
        <f ca="1">IF(ISBLANK(O76), "ATTENZIONE: Data non inserita", IF(O76&lt;=param!B2, "ATTENZIONE: Ritardo, Avvertire il cliente", "Data cons. rich. INSERITA"))</f>
        <v>Data cons. rich. INSERITA</v>
      </c>
      <c r="AY76" s="71" t="str">
        <f>IF(OR(ISBLANK(AP76),ISBLANK(AH76)), "ATTENZIONE: Vettore non associato", IF(V76="VETTORE", "Tipo spedizione: VETTORE", IF(V76="DESTINATARIO", "Tipo spedizione: DESTINATARIO", IF(ISBLANK(V76), "ATTENZIONE: Vettore vuoto", "?"))))</f>
        <v>Tipo spedizione: VETTORE</v>
      </c>
      <c r="AZ76" s="71" t="str">
        <f>IF(AM76=1, "Città OK", "ATTENZIONE: CAP non presente")</f>
        <v>ATTENZIONE: CAP non presente</v>
      </c>
      <c r="BA76" s="73" t="s">
        <v>387</v>
      </c>
      <c r="BB76" s="73" t="str">
        <f ca="1">_xlfn.CONCAT(AW76," - ",AX76," - ",AY76," - ",AZ76," - ","Data: ",BA76)</f>
        <v>ATTENZIONE: Data arrivo merce acquisti non presente - Data cons. rich. INSERITA - Tipo spedizione: VETTORE - ATTENZIONE: CAP non presente - Data: ATTENZIONE: Giorno congruo presa vettore</v>
      </c>
    </row>
    <row r="77" spans="1:54" x14ac:dyDescent="0.25">
      <c r="A77" s="75" t="s">
        <v>380</v>
      </c>
      <c r="B77" s="76">
        <v>103</v>
      </c>
      <c r="C77" s="76">
        <v>570</v>
      </c>
      <c r="D77" s="76">
        <v>800</v>
      </c>
      <c r="E77" s="85">
        <v>45978</v>
      </c>
      <c r="F77" s="76">
        <v>1126</v>
      </c>
      <c r="G77" s="75" t="s">
        <v>464</v>
      </c>
      <c r="H77" s="75" t="s">
        <v>820</v>
      </c>
      <c r="I77" s="75" t="s">
        <v>821</v>
      </c>
      <c r="J77" s="75" t="s">
        <v>822</v>
      </c>
      <c r="K77" s="68">
        <v>0.5</v>
      </c>
      <c r="L77" s="86"/>
      <c r="M77" s="68">
        <v>0.5</v>
      </c>
      <c r="N77" s="85"/>
      <c r="O77" s="85">
        <v>46003</v>
      </c>
      <c r="P77" s="75" t="s">
        <v>30</v>
      </c>
      <c r="Q77" s="76">
        <v>4</v>
      </c>
      <c r="R77" s="76">
        <v>8</v>
      </c>
      <c r="S77" s="75" t="s">
        <v>466</v>
      </c>
      <c r="T77" s="75" t="s">
        <v>381</v>
      </c>
      <c r="U77" s="75" t="s">
        <v>415</v>
      </c>
      <c r="V77" s="75" t="s">
        <v>416</v>
      </c>
      <c r="W77" s="75" t="s">
        <v>464</v>
      </c>
      <c r="X77" s="75" t="s">
        <v>465</v>
      </c>
      <c r="Y77" s="76">
        <v>6</v>
      </c>
      <c r="Z77" s="75" t="s">
        <v>36</v>
      </c>
      <c r="AA77" s="76">
        <v>348</v>
      </c>
      <c r="AB77" s="75" t="s">
        <v>818</v>
      </c>
      <c r="AC77" s="76">
        <v>295</v>
      </c>
      <c r="AD77" s="76">
        <v>6</v>
      </c>
      <c r="AE77" s="75" t="s">
        <v>382</v>
      </c>
      <c r="AF77" s="76">
        <v>1</v>
      </c>
      <c r="AG77" s="75" t="s">
        <v>418</v>
      </c>
      <c r="AH77" s="76">
        <v>1</v>
      </c>
      <c r="AJ77" s="77" t="s">
        <v>819</v>
      </c>
      <c r="AK77" s="87">
        <v>45974</v>
      </c>
      <c r="AL77" s="70" t="s">
        <v>368</v>
      </c>
      <c r="AM77" s="70">
        <v>0</v>
      </c>
      <c r="AN77" s="78" t="s">
        <v>347</v>
      </c>
      <c r="AO77" s="78" t="s">
        <v>334</v>
      </c>
      <c r="AP77" s="79">
        <v>13</v>
      </c>
      <c r="AQ77" s="71" t="str">
        <f>_xlfn.CONCAT(C77,"/",D77)</f>
        <v>570/800</v>
      </c>
      <c r="AR77" s="71" t="str">
        <f>IF(D77=0,"DA CONTRATTO","SPOT")</f>
        <v>SPOT</v>
      </c>
      <c r="AS77" s="72" t="str">
        <f>IF(AD77=5,"P","C")</f>
        <v>C</v>
      </c>
      <c r="AT77" s="71" t="e">
        <f>VLOOKUP(S77,'FILE PALLETTIZZAZIONI DB SRL'!B:H,5,FALSE)</f>
        <v>#N/A</v>
      </c>
      <c r="AU77" s="71" t="str">
        <f>TEXT(N77,"gggg")</f>
        <v>sabato</v>
      </c>
      <c r="AV77" s="71">
        <f>WEEKNUM(N77)</f>
        <v>0</v>
      </c>
      <c r="AW77" s="71" t="str">
        <f>IF(AND(ISBLANK(N77),AS77="P"), "ATTENZIONE: Data produzione non pianificata", IF(AND(ISBLANK(N77),AS77="C"), "ATTENZIONE: Data arrivo merce acquisti non presente", IF(O77-N77&gt;=AP77, "Data sped. utile INSERITA", "ATTENZIONE: GG. resa non adeguati")))</f>
        <v>ATTENZIONE: Data arrivo merce acquisti non presente</v>
      </c>
      <c r="AX77" s="71" t="str">
        <f ca="1">IF(ISBLANK(O77), "ATTENZIONE: Data non inserita", IF(O77&lt;=param!B2, "ATTENZIONE: Ritardo, Avvertire il cliente", "Data cons. rich. INSERITA"))</f>
        <v>Data cons. rich. INSERITA</v>
      </c>
      <c r="AY77" s="71" t="str">
        <f>IF(OR(ISBLANK(AP77),ISBLANK(AH77)), "ATTENZIONE: Vettore non associato", IF(V77="VETTORE", "Tipo spedizione: VETTORE", IF(V77="DESTINATARIO", "Tipo spedizione: DESTINATARIO", IF(ISBLANK(V77), "ATTENZIONE: Vettore vuoto", "?"))))</f>
        <v>Tipo spedizione: VETTORE</v>
      </c>
      <c r="AZ77" s="71" t="str">
        <f>IF(AM77=1, "Città OK", "ATTENZIONE: CAP non presente")</f>
        <v>ATTENZIONE: CAP non presente</v>
      </c>
      <c r="BA77" s="73" t="s">
        <v>387</v>
      </c>
      <c r="BB77" s="73" t="str">
        <f ca="1">_xlfn.CONCAT(AW77," - ",AX77," - ",AY77," - ",AZ77," - ","Data: ",BA77)</f>
        <v>ATTENZIONE: Data arrivo merce acquisti non presente - Data cons. rich. INSERITA - Tipo spedizione: VETTORE - ATTENZIONE: CAP non presente - Data: ATTENZIONE: Giorno congruo presa vettore</v>
      </c>
    </row>
    <row r="78" spans="1:54" x14ac:dyDescent="0.25">
      <c r="A78" s="75" t="s">
        <v>380</v>
      </c>
      <c r="B78" s="76">
        <v>104</v>
      </c>
      <c r="C78" s="76">
        <v>793</v>
      </c>
      <c r="D78" s="76">
        <v>0</v>
      </c>
      <c r="E78" s="85">
        <v>45967</v>
      </c>
      <c r="F78" s="76">
        <v>1134</v>
      </c>
      <c r="G78" s="75" t="s">
        <v>401</v>
      </c>
      <c r="H78" s="75" t="s">
        <v>402</v>
      </c>
      <c r="I78" s="75" t="s">
        <v>402</v>
      </c>
      <c r="J78" s="75" t="s">
        <v>403</v>
      </c>
      <c r="K78" s="68">
        <v>1200</v>
      </c>
      <c r="L78" s="86"/>
      <c r="M78" s="68">
        <v>1200</v>
      </c>
      <c r="N78" s="85"/>
      <c r="O78" s="85">
        <v>46045</v>
      </c>
      <c r="P78" s="75" t="s">
        <v>637</v>
      </c>
      <c r="Q78" s="76">
        <v>8</v>
      </c>
      <c r="R78" s="76">
        <v>10</v>
      </c>
      <c r="S78" s="75" t="s">
        <v>421</v>
      </c>
      <c r="T78" s="75" t="s">
        <v>381</v>
      </c>
      <c r="U78" s="75" t="s">
        <v>415</v>
      </c>
      <c r="V78" s="75" t="s">
        <v>416</v>
      </c>
      <c r="W78" s="75" t="s">
        <v>430</v>
      </c>
      <c r="X78" s="75" t="s">
        <v>404</v>
      </c>
      <c r="Y78" s="76">
        <v>4</v>
      </c>
      <c r="Z78" s="75" t="s">
        <v>422</v>
      </c>
      <c r="AA78" s="76">
        <v>988</v>
      </c>
      <c r="AB78" s="75" t="s">
        <v>423</v>
      </c>
      <c r="AC78" s="76">
        <v>45</v>
      </c>
      <c r="AD78" s="76">
        <v>4</v>
      </c>
      <c r="AE78" s="75" t="s">
        <v>384</v>
      </c>
      <c r="AF78" s="76">
        <v>1</v>
      </c>
      <c r="AG78" s="75" t="s">
        <v>418</v>
      </c>
      <c r="AH78" s="76">
        <v>23</v>
      </c>
      <c r="AJ78" s="77" t="s">
        <v>638</v>
      </c>
      <c r="AK78" s="87"/>
      <c r="AL78" s="70" t="s">
        <v>367</v>
      </c>
      <c r="AM78" s="70">
        <v>1</v>
      </c>
      <c r="AN78" s="78"/>
      <c r="AO78" s="78"/>
      <c r="AP78" s="79"/>
      <c r="AQ78" s="71" t="str">
        <f>_xlfn.CONCAT(C78,"/",D78)</f>
        <v>793/0</v>
      </c>
      <c r="AR78" s="71" t="str">
        <f>IF(D78=0,"DA CONTRATTO","SPOT")</f>
        <v>DA CONTRATTO</v>
      </c>
      <c r="AS78" s="72" t="str">
        <f>IF(AD78=5,"P","C")</f>
        <v>C</v>
      </c>
      <c r="AT78" s="71" t="e">
        <f>VLOOKUP(S78,'FILE PALLETTIZZAZIONI DB SRL'!B:H,5,FALSE)</f>
        <v>#N/A</v>
      </c>
      <c r="AU78" s="71" t="str">
        <f>TEXT(N78,"gggg")</f>
        <v>sabato</v>
      </c>
      <c r="AV78" s="71">
        <f>WEEKNUM(N78)</f>
        <v>0</v>
      </c>
      <c r="AW78" s="71" t="str">
        <f>IF(AND(ISBLANK(N78),AS78="P"), "ATTENZIONE: Data produzione non pianificata", IF(AND(ISBLANK(N78),AS78="C"), "ATTENZIONE: Data arrivo merce acquisti non presente", IF(O78-N78&gt;=AP78, "Data sped. utile INSERITA", "ATTENZIONE: GG. resa non adeguati")))</f>
        <v>ATTENZIONE: Data arrivo merce acquisti non presente</v>
      </c>
      <c r="AX78" s="71" t="str">
        <f ca="1">IF(ISBLANK(O78), "ATTENZIONE: Data non inserita", IF(O78&lt;=param!B2, "ATTENZIONE: Ritardo, Avvertire il cliente", "Data cons. rich. INSERITA"))</f>
        <v>Data cons. rich. INSERITA</v>
      </c>
      <c r="AY78" s="71" t="str">
        <f>IF(OR(ISBLANK(AP78),ISBLANK(AH78)), "ATTENZIONE: Vettore non associato", IF(V78="VETTORE", "Tipo spedizione: VETTORE", IF(V78="DESTINATARIO", "Tipo spedizione: DESTINATARIO", IF(ISBLANK(V78), "ATTENZIONE: Vettore vuoto", "?"))))</f>
        <v>ATTENZIONE: Vettore non associato</v>
      </c>
      <c r="AZ78" s="71" t="str">
        <f>IF(AM78=1, "Città OK", "ATTENZIONE: CAP non presente")</f>
        <v>Città OK</v>
      </c>
      <c r="BA78" s="73" t="s">
        <v>387</v>
      </c>
      <c r="BB78" s="73" t="str">
        <f ca="1">_xlfn.CONCAT(AW78," - ",AX78," - ",AY78," - ",AZ78," - ","Data: ",BA78)</f>
        <v>ATTENZIONE: Data arrivo merce acquisti non presente - Data cons. rich. INSERITA - ATTENZIONE: Vettore non associato - Città OK - Data: ATTENZIONE: Giorno congruo presa vettore</v>
      </c>
    </row>
    <row r="79" spans="1:54" x14ac:dyDescent="0.25">
      <c r="A79" s="75" t="s">
        <v>380</v>
      </c>
      <c r="B79" s="76">
        <v>105</v>
      </c>
      <c r="C79" s="76">
        <v>475</v>
      </c>
      <c r="D79" s="76">
        <v>800</v>
      </c>
      <c r="E79" s="85">
        <v>45905</v>
      </c>
      <c r="F79" s="76">
        <v>1134</v>
      </c>
      <c r="G79" s="75" t="s">
        <v>401</v>
      </c>
      <c r="H79" s="75" t="s">
        <v>402</v>
      </c>
      <c r="I79" s="75" t="s">
        <v>402</v>
      </c>
      <c r="J79" s="75" t="s">
        <v>403</v>
      </c>
      <c r="K79" s="68">
        <v>1200</v>
      </c>
      <c r="L79" s="86"/>
      <c r="M79" s="68">
        <v>1200</v>
      </c>
      <c r="N79" s="85">
        <v>46037</v>
      </c>
      <c r="O79" s="85">
        <v>46045</v>
      </c>
      <c r="P79" s="75" t="s">
        <v>61</v>
      </c>
      <c r="Q79" s="76">
        <v>8</v>
      </c>
      <c r="R79" s="76">
        <v>10</v>
      </c>
      <c r="S79" s="75" t="s">
        <v>421</v>
      </c>
      <c r="T79" s="75" t="s">
        <v>381</v>
      </c>
      <c r="U79" s="75" t="s">
        <v>415</v>
      </c>
      <c r="V79" s="75" t="s">
        <v>416</v>
      </c>
      <c r="W79" s="75" t="s">
        <v>430</v>
      </c>
      <c r="X79" s="75" t="s">
        <v>404</v>
      </c>
      <c r="Y79" s="76">
        <v>4</v>
      </c>
      <c r="Z79" s="75" t="s">
        <v>422</v>
      </c>
      <c r="AA79" s="76">
        <v>988</v>
      </c>
      <c r="AB79" s="75" t="s">
        <v>423</v>
      </c>
      <c r="AC79" s="76">
        <v>45</v>
      </c>
      <c r="AD79" s="76">
        <v>4</v>
      </c>
      <c r="AE79" s="75" t="s">
        <v>384</v>
      </c>
      <c r="AF79" s="76">
        <v>1</v>
      </c>
      <c r="AG79" s="75" t="s">
        <v>418</v>
      </c>
      <c r="AH79" s="76">
        <v>6</v>
      </c>
      <c r="AJ79" s="77" t="s">
        <v>438</v>
      </c>
      <c r="AK79" s="87">
        <v>45910</v>
      </c>
      <c r="AL79" s="70" t="s">
        <v>367</v>
      </c>
      <c r="AM79" s="70">
        <v>1</v>
      </c>
      <c r="AN79" s="78"/>
      <c r="AO79" s="78"/>
      <c r="AP79" s="79"/>
      <c r="AQ79" s="71" t="str">
        <f>_xlfn.CONCAT(C79,"/",D79)</f>
        <v>475/800</v>
      </c>
      <c r="AR79" s="71" t="str">
        <f>IF(D79=0,"DA CONTRATTO","SPOT")</f>
        <v>SPOT</v>
      </c>
      <c r="AS79" s="72" t="str">
        <f>IF(AD79=5,"P","C")</f>
        <v>C</v>
      </c>
      <c r="AT79" s="71" t="e">
        <f>VLOOKUP(S79,'FILE PALLETTIZZAZIONI DB SRL'!B:H,5,FALSE)</f>
        <v>#N/A</v>
      </c>
      <c r="AU79" s="71" t="str">
        <f>TEXT(N79,"gggg")</f>
        <v>giovedì</v>
      </c>
      <c r="AV79" s="71">
        <f>WEEKNUM(N79)</f>
        <v>3</v>
      </c>
      <c r="AW79" s="71" t="str">
        <f>IF(AND(ISBLANK(N79),AS79="P"), "ATTENZIONE: Data produzione non pianificata", IF(AND(ISBLANK(N79),AS79="C"), "ATTENZIONE: Data arrivo merce acquisti non presente", IF(O79-N79&gt;=AP79, "Data sped. utile INSERITA", "ATTENZIONE: GG. resa non adeguati")))</f>
        <v>Data sped. utile INSERITA</v>
      </c>
      <c r="AX79" s="71" t="str">
        <f ca="1">IF(ISBLANK(O79), "ATTENZIONE: Data non inserita", IF(O79&lt;=param!B2, "ATTENZIONE: Ritardo, Avvertire il cliente", "Data cons. rich. INSERITA"))</f>
        <v>Data cons. rich. INSERITA</v>
      </c>
      <c r="AY79" s="71" t="str">
        <f>IF(OR(ISBLANK(AP79),ISBLANK(AH79)), "ATTENZIONE: Vettore non associato", IF(V79="VETTORE", "Tipo spedizione: VETTORE", IF(V79="DESTINATARIO", "Tipo spedizione: DESTINATARIO", IF(ISBLANK(V79), "ATTENZIONE: Vettore vuoto", "?"))))</f>
        <v>ATTENZIONE: Vettore non associato</v>
      </c>
      <c r="AZ79" s="71" t="str">
        <f>IF(AM79=1, "Città OK", "ATTENZIONE: CAP non presente")</f>
        <v>Città OK</v>
      </c>
      <c r="BA79" s="73" t="s">
        <v>387</v>
      </c>
      <c r="BB79" s="73" t="str">
        <f ca="1">_xlfn.CONCAT(AW79," - ",AX79," - ",AY79," - ",AZ79," - ","Data: ",BA79)</f>
        <v>Data sped. utile INSERITA - Data cons. rich. INSERITA - ATTENZIONE: Vettore non associato - Città OK - Data: ATTENZIONE: Giorno congruo presa vettore</v>
      </c>
    </row>
    <row r="80" spans="1:54" x14ac:dyDescent="0.25">
      <c r="A80" s="75" t="s">
        <v>380</v>
      </c>
      <c r="B80" s="76">
        <v>108</v>
      </c>
      <c r="C80" s="76">
        <v>827</v>
      </c>
      <c r="D80" s="76">
        <v>0</v>
      </c>
      <c r="E80" s="85">
        <v>45979</v>
      </c>
      <c r="F80" s="76">
        <v>1156</v>
      </c>
      <c r="G80" s="75" t="s">
        <v>823</v>
      </c>
      <c r="H80" s="75" t="s">
        <v>824</v>
      </c>
      <c r="I80" s="75" t="s">
        <v>825</v>
      </c>
      <c r="J80" s="75" t="s">
        <v>826</v>
      </c>
      <c r="K80" s="68">
        <v>1500</v>
      </c>
      <c r="L80" s="86"/>
      <c r="M80" s="68">
        <v>1500</v>
      </c>
      <c r="N80" s="85"/>
      <c r="O80" s="85">
        <v>46063</v>
      </c>
      <c r="P80" s="75" t="s">
        <v>45</v>
      </c>
      <c r="Q80" s="76">
        <v>8</v>
      </c>
      <c r="R80" s="76">
        <v>10</v>
      </c>
      <c r="S80" s="75" t="s">
        <v>47</v>
      </c>
      <c r="T80" s="75" t="s">
        <v>381</v>
      </c>
      <c r="U80" s="75" t="s">
        <v>415</v>
      </c>
      <c r="V80" s="75" t="s">
        <v>416</v>
      </c>
      <c r="W80" s="75" t="s">
        <v>827</v>
      </c>
      <c r="X80" s="75" t="s">
        <v>828</v>
      </c>
      <c r="Y80" s="76">
        <v>4</v>
      </c>
      <c r="Z80" s="75" t="s">
        <v>419</v>
      </c>
      <c r="AA80" s="76">
        <v>745</v>
      </c>
      <c r="AB80" s="75" t="s">
        <v>691</v>
      </c>
      <c r="AC80" s="76">
        <v>235</v>
      </c>
      <c r="AD80" s="76">
        <v>4</v>
      </c>
      <c r="AE80" s="75" t="s">
        <v>384</v>
      </c>
      <c r="AF80" s="76">
        <v>1</v>
      </c>
      <c r="AG80" s="75" t="s">
        <v>418</v>
      </c>
      <c r="AH80" s="76">
        <v>10</v>
      </c>
      <c r="AJ80" s="77" t="s">
        <v>829</v>
      </c>
      <c r="AK80" s="87"/>
      <c r="AL80" s="70" t="s">
        <v>367</v>
      </c>
      <c r="AM80" s="70">
        <v>1</v>
      </c>
      <c r="AN80" s="78"/>
      <c r="AO80" s="78"/>
      <c r="AP80" s="79"/>
      <c r="AQ80" s="71" t="str">
        <f>_xlfn.CONCAT(C80,"/",D80)</f>
        <v>827/0</v>
      </c>
      <c r="AR80" s="71" t="str">
        <f>IF(D80=0,"DA CONTRATTO","SPOT")</f>
        <v>DA CONTRATTO</v>
      </c>
      <c r="AS80" s="72" t="str">
        <f>IF(AD80=5,"P","C")</f>
        <v>C</v>
      </c>
      <c r="AT80" s="71">
        <f>VLOOKUP(S80,'FILE PALLETTIZZAZIONI DB SRL'!B:H,5,FALSE)</f>
        <v>2</v>
      </c>
      <c r="AU80" s="71" t="str">
        <f>TEXT(N80,"gggg")</f>
        <v>sabato</v>
      </c>
      <c r="AV80" s="71">
        <f>WEEKNUM(N80)</f>
        <v>0</v>
      </c>
      <c r="AW80" s="71" t="str">
        <f>IF(AND(ISBLANK(N80),AS80="P"), "ATTENZIONE: Data produzione non pianificata", IF(AND(ISBLANK(N80),AS80="C"), "ATTENZIONE: Data arrivo merce acquisti non presente", IF(O80-N80&gt;=AP80, "Data sped. utile INSERITA", "ATTENZIONE: GG. resa non adeguati")))</f>
        <v>ATTENZIONE: Data arrivo merce acquisti non presente</v>
      </c>
      <c r="AX80" s="71" t="str">
        <f ca="1">IF(ISBLANK(O80), "ATTENZIONE: Data non inserita", IF(O80&lt;=param!B2, "ATTENZIONE: Ritardo, Avvertire il cliente", "Data cons. rich. INSERITA"))</f>
        <v>Data cons. rich. INSERITA</v>
      </c>
      <c r="AY80" s="71" t="str">
        <f>IF(OR(ISBLANK(AP80),ISBLANK(AH80)), "ATTENZIONE: Vettore non associato", IF(V80="VETTORE", "Tipo spedizione: VETTORE", IF(V80="DESTINATARIO", "Tipo spedizione: DESTINATARIO", IF(ISBLANK(V80), "ATTENZIONE: Vettore vuoto", "?"))))</f>
        <v>ATTENZIONE: Vettore non associato</v>
      </c>
      <c r="AZ80" s="71" t="str">
        <f>IF(AM80=1, "Città OK", "ATTENZIONE: CAP non presente")</f>
        <v>Città OK</v>
      </c>
      <c r="BA80" s="73" t="s">
        <v>387</v>
      </c>
      <c r="BB80" s="73" t="str">
        <f ca="1">_xlfn.CONCAT(AW80," - ",AX80," - ",AY80," - ",AZ80," - ","Data: ",BA80)</f>
        <v>ATTENZIONE: Data arrivo merce acquisti non presente - Data cons. rich. INSERITA - ATTENZIONE: Vettore non associato - Città OK - Data: ATTENZIONE: Giorno congruo presa vettore</v>
      </c>
    </row>
    <row r="81" spans="1:54" x14ac:dyDescent="0.25">
      <c r="A81" s="75" t="s">
        <v>380</v>
      </c>
      <c r="B81" s="76">
        <v>109</v>
      </c>
      <c r="C81" s="76">
        <v>830</v>
      </c>
      <c r="D81" s="76">
        <v>0</v>
      </c>
      <c r="E81" s="85">
        <v>45979</v>
      </c>
      <c r="F81" s="76">
        <v>1156</v>
      </c>
      <c r="G81" s="75" t="s">
        <v>823</v>
      </c>
      <c r="H81" s="75" t="s">
        <v>830</v>
      </c>
      <c r="I81" s="75" t="s">
        <v>830</v>
      </c>
      <c r="J81" s="75" t="s">
        <v>831</v>
      </c>
      <c r="K81" s="68">
        <v>1000</v>
      </c>
      <c r="L81" s="86"/>
      <c r="M81" s="68">
        <v>1000</v>
      </c>
      <c r="N81" s="85"/>
      <c r="O81" s="85">
        <v>46234</v>
      </c>
      <c r="P81" s="75" t="s">
        <v>45</v>
      </c>
      <c r="Q81" s="76">
        <v>8</v>
      </c>
      <c r="R81" s="76">
        <v>10</v>
      </c>
      <c r="S81" s="75" t="s">
        <v>47</v>
      </c>
      <c r="T81" s="75" t="s">
        <v>381</v>
      </c>
      <c r="U81" s="75" t="s">
        <v>415</v>
      </c>
      <c r="V81" s="75" t="s">
        <v>416</v>
      </c>
      <c r="W81" s="75" t="s">
        <v>827</v>
      </c>
      <c r="X81" s="75" t="s">
        <v>828</v>
      </c>
      <c r="Y81" s="76">
        <v>5</v>
      </c>
      <c r="Z81" s="75" t="s">
        <v>419</v>
      </c>
      <c r="AA81" s="76">
        <v>550</v>
      </c>
      <c r="AB81" s="75" t="s">
        <v>462</v>
      </c>
      <c r="AC81" s="76">
        <v>235</v>
      </c>
      <c r="AD81" s="76">
        <v>5</v>
      </c>
      <c r="AE81" s="75" t="s">
        <v>383</v>
      </c>
      <c r="AF81" s="76">
        <v>1</v>
      </c>
      <c r="AG81" s="75" t="s">
        <v>418</v>
      </c>
      <c r="AH81" s="76">
        <v>10</v>
      </c>
      <c r="AJ81" s="77" t="s">
        <v>832</v>
      </c>
      <c r="AK81" s="87"/>
      <c r="AL81" s="70" t="s">
        <v>367</v>
      </c>
      <c r="AM81" s="70">
        <v>1</v>
      </c>
      <c r="AN81" s="78"/>
      <c r="AO81" s="78"/>
      <c r="AP81" s="79"/>
      <c r="AQ81" s="71" t="str">
        <f>_xlfn.CONCAT(C81,"/",D81)</f>
        <v>830/0</v>
      </c>
      <c r="AR81" s="71" t="str">
        <f>IF(D81=0,"DA CONTRATTO","SPOT")</f>
        <v>DA CONTRATTO</v>
      </c>
      <c r="AS81" s="72" t="str">
        <f>IF(AD81=5,"P","C")</f>
        <v>P</v>
      </c>
      <c r="AT81" s="71">
        <f>VLOOKUP(S81,'FILE PALLETTIZZAZIONI DB SRL'!B:H,5,FALSE)</f>
        <v>2</v>
      </c>
      <c r="AU81" s="71" t="str">
        <f>TEXT(N81,"gggg")</f>
        <v>sabato</v>
      </c>
      <c r="AV81" s="71">
        <f>WEEKNUM(N81)</f>
        <v>0</v>
      </c>
      <c r="AW81" s="71" t="str">
        <f>IF(AND(ISBLANK(N81),AS81="P"), "ATTENZIONE: Data produzione non pianificata", IF(AND(ISBLANK(N81),AS81="C"), "ATTENZIONE: Data arrivo merce acquisti non presente", IF(O81-N81&gt;=AP81, "Data sped. utile INSERITA", "ATTENZIONE: GG. resa non adeguati")))</f>
        <v>ATTENZIONE: Data produzione non pianificata</v>
      </c>
      <c r="AX81" s="71" t="str">
        <f ca="1">IF(ISBLANK(O81), "ATTENZIONE: Data non inserita", IF(O81&lt;=param!B2, "ATTENZIONE: Ritardo, Avvertire il cliente", "Data cons. rich. INSERITA"))</f>
        <v>Data cons. rich. INSERITA</v>
      </c>
      <c r="AY81" s="71" t="str">
        <f>IF(OR(ISBLANK(AP81),ISBLANK(AH81)), "ATTENZIONE: Vettore non associato", IF(V81="VETTORE", "Tipo spedizione: VETTORE", IF(V81="DESTINATARIO", "Tipo spedizione: DESTINATARIO", IF(ISBLANK(V81), "ATTENZIONE: Vettore vuoto", "?"))))</f>
        <v>ATTENZIONE: Vettore non associato</v>
      </c>
      <c r="AZ81" s="71" t="str">
        <f>IF(AM81=1, "Città OK", "ATTENZIONE: CAP non presente")</f>
        <v>Città OK</v>
      </c>
      <c r="BA81" s="73" t="s">
        <v>387</v>
      </c>
      <c r="BB81" s="73" t="str">
        <f ca="1">_xlfn.CONCAT(AW81," - ",AX81," - ",AY81," - ",AZ81," - ","Data: ",BA81)</f>
        <v>ATTENZIONE: Data produzione non pianificata - Data cons. rich. INSERITA - ATTENZIONE: Vettore non associato - Città OK - Data: ATTENZIONE: Giorno congruo presa vettore</v>
      </c>
    </row>
    <row r="82" spans="1:54" x14ac:dyDescent="0.25">
      <c r="A82" s="75" t="s">
        <v>380</v>
      </c>
      <c r="B82" s="76">
        <v>117</v>
      </c>
      <c r="C82" s="76">
        <v>571</v>
      </c>
      <c r="D82" s="76">
        <v>800</v>
      </c>
      <c r="E82" s="85">
        <v>45978</v>
      </c>
      <c r="F82" s="76">
        <v>1210</v>
      </c>
      <c r="G82" s="75" t="s">
        <v>833</v>
      </c>
      <c r="H82" s="75" t="s">
        <v>835</v>
      </c>
      <c r="I82" s="75" t="s">
        <v>836</v>
      </c>
      <c r="J82" s="75" t="s">
        <v>837</v>
      </c>
      <c r="K82" s="68">
        <v>275</v>
      </c>
      <c r="L82" s="86"/>
      <c r="M82" s="68">
        <v>275</v>
      </c>
      <c r="N82" s="85"/>
      <c r="O82" s="85">
        <v>46010</v>
      </c>
      <c r="P82" s="75" t="s">
        <v>30</v>
      </c>
      <c r="Q82" s="76">
        <v>8</v>
      </c>
      <c r="R82" s="76">
        <v>10</v>
      </c>
      <c r="S82" s="75" t="s">
        <v>64</v>
      </c>
      <c r="T82" s="75" t="s">
        <v>381</v>
      </c>
      <c r="U82" s="75" t="s">
        <v>415</v>
      </c>
      <c r="V82" s="75" t="s">
        <v>416</v>
      </c>
      <c r="W82" s="75" t="s">
        <v>834</v>
      </c>
      <c r="X82" s="75" t="s">
        <v>838</v>
      </c>
      <c r="Y82" s="76">
        <v>5</v>
      </c>
      <c r="Z82" s="75" t="s">
        <v>419</v>
      </c>
      <c r="AA82" s="76">
        <v>870</v>
      </c>
      <c r="AB82" s="75" t="s">
        <v>420</v>
      </c>
      <c r="AC82" s="76">
        <v>235</v>
      </c>
      <c r="AD82" s="76">
        <v>5</v>
      </c>
      <c r="AE82" s="75" t="s">
        <v>383</v>
      </c>
      <c r="AF82" s="76">
        <v>1</v>
      </c>
      <c r="AG82" s="75" t="s">
        <v>418</v>
      </c>
      <c r="AH82" s="76">
        <v>1</v>
      </c>
      <c r="AJ82" s="77" t="s">
        <v>839</v>
      </c>
      <c r="AK82" s="87">
        <v>45596</v>
      </c>
      <c r="AL82" s="70" t="s">
        <v>366</v>
      </c>
      <c r="AM82" s="70">
        <v>1</v>
      </c>
      <c r="AN82" s="78" t="s">
        <v>347</v>
      </c>
      <c r="AO82" s="78" t="s">
        <v>334</v>
      </c>
      <c r="AP82" s="79">
        <v>5</v>
      </c>
      <c r="AQ82" s="71" t="str">
        <f>_xlfn.CONCAT(C82,"/",D82)</f>
        <v>571/800</v>
      </c>
      <c r="AR82" s="71" t="str">
        <f>IF(D82=0,"DA CONTRATTO","SPOT")</f>
        <v>SPOT</v>
      </c>
      <c r="AS82" s="72" t="str">
        <f>IF(AD82=5,"P","C")</f>
        <v>P</v>
      </c>
      <c r="AT82" s="71">
        <f>VLOOKUP(S82,'FILE PALLETTIZZAZIONI DB SRL'!B:H,5,FALSE)</f>
        <v>110</v>
      </c>
      <c r="AU82" s="71" t="str">
        <f>TEXT(N82,"gggg")</f>
        <v>sabato</v>
      </c>
      <c r="AV82" s="71">
        <f>WEEKNUM(N82)</f>
        <v>0</v>
      </c>
      <c r="AW82" s="71" t="str">
        <f>IF(AND(ISBLANK(N82),AS82="P"), "ATTENZIONE: Data produzione non pianificata", IF(AND(ISBLANK(N82),AS82="C"), "ATTENZIONE: Data arrivo merce acquisti non presente", IF(O82-N82&gt;=AP82, "Data sped. utile INSERITA", "ATTENZIONE: GG. resa non adeguati")))</f>
        <v>ATTENZIONE: Data produzione non pianificata</v>
      </c>
      <c r="AX82" s="71" t="str">
        <f ca="1">IF(ISBLANK(O82), "ATTENZIONE: Data non inserita", IF(O82&lt;=param!B2, "ATTENZIONE: Ritardo, Avvertire il cliente", "Data cons. rich. INSERITA"))</f>
        <v>Data cons. rich. INSERITA</v>
      </c>
      <c r="AY82" s="71" t="str">
        <f>IF(OR(ISBLANK(AP82),ISBLANK(AH82)), "ATTENZIONE: Vettore non associato", IF(V82="VETTORE", "Tipo spedizione: VETTORE", IF(V82="DESTINATARIO", "Tipo spedizione: DESTINATARIO", IF(ISBLANK(V82), "ATTENZIONE: Vettore vuoto", "?"))))</f>
        <v>Tipo spedizione: VETTORE</v>
      </c>
      <c r="AZ82" s="71" t="str">
        <f>IF(AM82=1, "Città OK", "ATTENZIONE: CAP non presente")</f>
        <v>Città OK</v>
      </c>
      <c r="BA82" s="73" t="s">
        <v>387</v>
      </c>
      <c r="BB82" s="73" t="str">
        <f ca="1">_xlfn.CONCAT(AW82," - ",AX82," - ",AY82," - ",AZ82," - ","Data: ",BA82)</f>
        <v>ATTENZIONE: Data produzione non pianificata - Data cons. rich. INSERITA - Tipo spedizione: VETTORE - Città OK - Data: ATTENZIONE: Giorno congruo presa vettore</v>
      </c>
    </row>
    <row r="83" spans="1:54" x14ac:dyDescent="0.25">
      <c r="A83" s="75" t="s">
        <v>380</v>
      </c>
      <c r="B83" s="76">
        <v>118</v>
      </c>
      <c r="C83" s="76">
        <v>804</v>
      </c>
      <c r="D83" s="76">
        <v>0</v>
      </c>
      <c r="E83" s="85">
        <v>45975</v>
      </c>
      <c r="F83" s="76">
        <v>1224</v>
      </c>
      <c r="G83" s="75" t="s">
        <v>573</v>
      </c>
      <c r="H83" s="75" t="s">
        <v>738</v>
      </c>
      <c r="I83" s="75" t="s">
        <v>739</v>
      </c>
      <c r="J83" s="75" t="s">
        <v>740</v>
      </c>
      <c r="K83" s="68">
        <v>3000</v>
      </c>
      <c r="L83" s="86"/>
      <c r="M83" s="68">
        <v>3000</v>
      </c>
      <c r="N83" s="85"/>
      <c r="O83" s="85">
        <v>46006</v>
      </c>
      <c r="P83" s="75" t="s">
        <v>30</v>
      </c>
      <c r="Q83" s="76">
        <v>8</v>
      </c>
      <c r="R83" s="76">
        <v>10</v>
      </c>
      <c r="S83" s="75" t="s">
        <v>47</v>
      </c>
      <c r="T83" s="75" t="s">
        <v>381</v>
      </c>
      <c r="U83" s="75" t="s">
        <v>415</v>
      </c>
      <c r="V83" s="75" t="s">
        <v>416</v>
      </c>
      <c r="W83" s="75" t="s">
        <v>574</v>
      </c>
      <c r="X83" s="75" t="s">
        <v>575</v>
      </c>
      <c r="Y83" s="76">
        <v>4</v>
      </c>
      <c r="Z83" s="75" t="s">
        <v>419</v>
      </c>
      <c r="AA83" s="76">
        <v>115</v>
      </c>
      <c r="AB83" s="75" t="s">
        <v>741</v>
      </c>
      <c r="AC83" s="76">
        <v>235</v>
      </c>
      <c r="AD83" s="76">
        <v>4</v>
      </c>
      <c r="AE83" s="75" t="s">
        <v>384</v>
      </c>
      <c r="AF83" s="76">
        <v>1</v>
      </c>
      <c r="AG83" s="75" t="s">
        <v>418</v>
      </c>
      <c r="AH83" s="76">
        <v>1</v>
      </c>
      <c r="AJ83" s="77" t="s">
        <v>742</v>
      </c>
      <c r="AK83" s="87"/>
      <c r="AL83" s="70" t="s">
        <v>366</v>
      </c>
      <c r="AM83" s="70">
        <v>1</v>
      </c>
      <c r="AN83" s="78" t="s">
        <v>347</v>
      </c>
      <c r="AO83" s="78" t="s">
        <v>334</v>
      </c>
      <c r="AP83" s="79">
        <v>5</v>
      </c>
      <c r="AQ83" s="71" t="str">
        <f>_xlfn.CONCAT(C83,"/",D83)</f>
        <v>804/0</v>
      </c>
      <c r="AR83" s="71" t="str">
        <f>IF(D83=0,"DA CONTRATTO","SPOT")</f>
        <v>DA CONTRATTO</v>
      </c>
      <c r="AS83" s="72" t="str">
        <f>IF(AD83=5,"P","C")</f>
        <v>C</v>
      </c>
      <c r="AT83" s="71">
        <f>VLOOKUP(S83,'FILE PALLETTIZZAZIONI DB SRL'!B:H,5,FALSE)</f>
        <v>2</v>
      </c>
      <c r="AU83" s="71" t="str">
        <f>TEXT(N83,"gggg")</f>
        <v>sabato</v>
      </c>
      <c r="AV83" s="71">
        <f>WEEKNUM(N83)</f>
        <v>0</v>
      </c>
      <c r="AW83" s="71" t="str">
        <f>IF(AND(ISBLANK(N83),AS83="P"), "ATTENZIONE: Data produzione non pianificata", IF(AND(ISBLANK(N83),AS83="C"), "ATTENZIONE: Data arrivo merce acquisti non presente", IF(O83-N83&gt;=AP83, "Data sped. utile INSERITA", "ATTENZIONE: GG. resa non adeguati")))</f>
        <v>ATTENZIONE: Data arrivo merce acquisti non presente</v>
      </c>
      <c r="AX83" s="71" t="str">
        <f ca="1">IF(ISBLANK(O83), "ATTENZIONE: Data non inserita", IF(O83&lt;=param!B2, "ATTENZIONE: Ritardo, Avvertire il cliente", "Data cons. rich. INSERITA"))</f>
        <v>Data cons. rich. INSERITA</v>
      </c>
      <c r="AY83" s="71" t="str">
        <f>IF(OR(ISBLANK(AP83),ISBLANK(AH83)), "ATTENZIONE: Vettore non associato", IF(V83="VETTORE", "Tipo spedizione: VETTORE", IF(V83="DESTINATARIO", "Tipo spedizione: DESTINATARIO", IF(ISBLANK(V83), "ATTENZIONE: Vettore vuoto", "?"))))</f>
        <v>Tipo spedizione: VETTORE</v>
      </c>
      <c r="AZ83" s="71" t="str">
        <f>IF(AM83=1, "Città OK", "ATTENZIONE: CAP non presente")</f>
        <v>Città OK</v>
      </c>
      <c r="BA83" s="73" t="s">
        <v>387</v>
      </c>
      <c r="BB83" s="73" t="str">
        <f ca="1">_xlfn.CONCAT(AW83," - ",AX83," - ",AY83," - ",AZ83," - ","Data: ",BA83)</f>
        <v>ATTENZIONE: Data arrivo merce acquisti non presente - Data cons. rich. INSERITA - Tipo spedizione: VETTORE - Città OK - Data: ATTENZIONE: Giorno congruo presa vettore</v>
      </c>
    </row>
    <row r="84" spans="1:54" x14ac:dyDescent="0.25">
      <c r="A84" s="75" t="s">
        <v>380</v>
      </c>
      <c r="B84" s="76">
        <v>119</v>
      </c>
      <c r="C84" s="76">
        <v>805</v>
      </c>
      <c r="D84" s="76">
        <v>0</v>
      </c>
      <c r="E84" s="85">
        <v>45975</v>
      </c>
      <c r="F84" s="76">
        <v>1224</v>
      </c>
      <c r="G84" s="75" t="s">
        <v>573</v>
      </c>
      <c r="H84" s="75" t="s">
        <v>743</v>
      </c>
      <c r="I84" s="75" t="s">
        <v>744</v>
      </c>
      <c r="J84" s="75" t="s">
        <v>745</v>
      </c>
      <c r="K84" s="68">
        <v>1000</v>
      </c>
      <c r="L84" s="86"/>
      <c r="M84" s="68">
        <v>1000</v>
      </c>
      <c r="N84" s="85"/>
      <c r="O84" s="85">
        <v>46009</v>
      </c>
      <c r="P84" s="75" t="s">
        <v>30</v>
      </c>
      <c r="Q84" s="76">
        <v>8</v>
      </c>
      <c r="R84" s="76">
        <v>10</v>
      </c>
      <c r="S84" s="75" t="s">
        <v>47</v>
      </c>
      <c r="T84" s="75" t="s">
        <v>381</v>
      </c>
      <c r="U84" s="75" t="s">
        <v>415</v>
      </c>
      <c r="V84" s="75" t="s">
        <v>416</v>
      </c>
      <c r="W84" s="75" t="s">
        <v>574</v>
      </c>
      <c r="X84" s="75" t="s">
        <v>575</v>
      </c>
      <c r="Y84" s="76">
        <v>5</v>
      </c>
      <c r="Z84" s="75" t="s">
        <v>419</v>
      </c>
      <c r="AA84" s="76">
        <v>213</v>
      </c>
      <c r="AB84" s="75" t="s">
        <v>33</v>
      </c>
      <c r="AC84" s="76">
        <v>235</v>
      </c>
      <c r="AD84" s="76">
        <v>5</v>
      </c>
      <c r="AE84" s="75" t="s">
        <v>383</v>
      </c>
      <c r="AF84" s="76">
        <v>1</v>
      </c>
      <c r="AG84" s="75" t="s">
        <v>418</v>
      </c>
      <c r="AH84" s="76">
        <v>1</v>
      </c>
      <c r="AJ84" s="77" t="s">
        <v>746</v>
      </c>
      <c r="AK84" s="87"/>
      <c r="AL84" s="70" t="s">
        <v>366</v>
      </c>
      <c r="AM84" s="70">
        <v>1</v>
      </c>
      <c r="AN84" s="78" t="s">
        <v>347</v>
      </c>
      <c r="AO84" s="78" t="s">
        <v>334</v>
      </c>
      <c r="AP84" s="79">
        <v>5</v>
      </c>
      <c r="AQ84" s="71" t="str">
        <f>_xlfn.CONCAT(C84,"/",D84)</f>
        <v>805/0</v>
      </c>
      <c r="AR84" s="71" t="str">
        <f>IF(D84=0,"DA CONTRATTO","SPOT")</f>
        <v>DA CONTRATTO</v>
      </c>
      <c r="AS84" s="72" t="str">
        <f>IF(AD84=5,"P","C")</f>
        <v>P</v>
      </c>
      <c r="AT84" s="71">
        <f>VLOOKUP(S84,'FILE PALLETTIZZAZIONI DB SRL'!B:H,5,FALSE)</f>
        <v>2</v>
      </c>
      <c r="AU84" s="71" t="str">
        <f>TEXT(N84,"gggg")</f>
        <v>sabato</v>
      </c>
      <c r="AV84" s="71">
        <f>WEEKNUM(N84)</f>
        <v>0</v>
      </c>
      <c r="AW84" s="71" t="str">
        <f>IF(AND(ISBLANK(N84),AS84="P"), "ATTENZIONE: Data produzione non pianificata", IF(AND(ISBLANK(N84),AS84="C"), "ATTENZIONE: Data arrivo merce acquisti non presente", IF(O84-N84&gt;=AP84, "Data sped. utile INSERITA", "ATTENZIONE: GG. resa non adeguati")))</f>
        <v>ATTENZIONE: Data produzione non pianificata</v>
      </c>
      <c r="AX84" s="71" t="str">
        <f ca="1">IF(ISBLANK(O84), "ATTENZIONE: Data non inserita", IF(O84&lt;=param!B2, "ATTENZIONE: Ritardo, Avvertire il cliente", "Data cons. rich. INSERITA"))</f>
        <v>Data cons. rich. INSERITA</v>
      </c>
      <c r="AY84" s="71" t="str">
        <f>IF(OR(ISBLANK(AP84),ISBLANK(AH84)), "ATTENZIONE: Vettore non associato", IF(V84="VETTORE", "Tipo spedizione: VETTORE", IF(V84="DESTINATARIO", "Tipo spedizione: DESTINATARIO", IF(ISBLANK(V84), "ATTENZIONE: Vettore vuoto", "?"))))</f>
        <v>Tipo spedizione: VETTORE</v>
      </c>
      <c r="AZ84" s="71" t="str">
        <f>IF(AM84=1, "Città OK", "ATTENZIONE: CAP non presente")</f>
        <v>Città OK</v>
      </c>
      <c r="BA84" s="73" t="s">
        <v>387</v>
      </c>
      <c r="BB84" s="73" t="str">
        <f ca="1">_xlfn.CONCAT(AW84," - ",AX84," - ",AY84," - ",AZ84," - ","Data: ",BA84)</f>
        <v>ATTENZIONE: Data produzione non pianificata - Data cons. rich. INSERITA - Tipo spedizione: VETTORE - Città OK - Data: ATTENZIONE: Giorno congruo presa vettore</v>
      </c>
    </row>
    <row r="85" spans="1:54" x14ac:dyDescent="0.25">
      <c r="A85" s="75" t="s">
        <v>380</v>
      </c>
      <c r="B85" s="76">
        <v>120</v>
      </c>
      <c r="C85" s="76">
        <v>812</v>
      </c>
      <c r="D85" s="76">
        <v>0</v>
      </c>
      <c r="E85" s="85">
        <v>45975</v>
      </c>
      <c r="F85" s="76">
        <v>1224</v>
      </c>
      <c r="G85" s="75" t="s">
        <v>573</v>
      </c>
      <c r="H85" s="75" t="s">
        <v>747</v>
      </c>
      <c r="I85" s="75" t="s">
        <v>748</v>
      </c>
      <c r="J85" s="75" t="s">
        <v>749</v>
      </c>
      <c r="K85" s="68">
        <v>480</v>
      </c>
      <c r="L85" s="86"/>
      <c r="M85" s="68">
        <v>480</v>
      </c>
      <c r="N85" s="85"/>
      <c r="O85" s="85">
        <v>46048</v>
      </c>
      <c r="P85" s="75" t="s">
        <v>31</v>
      </c>
      <c r="Q85" s="76">
        <v>8</v>
      </c>
      <c r="R85" s="76">
        <v>10</v>
      </c>
      <c r="S85" s="75" t="s">
        <v>63</v>
      </c>
      <c r="T85" s="75" t="s">
        <v>381</v>
      </c>
      <c r="U85" s="75" t="s">
        <v>415</v>
      </c>
      <c r="V85" s="75" t="s">
        <v>416</v>
      </c>
      <c r="W85" s="75" t="s">
        <v>574</v>
      </c>
      <c r="X85" s="75" t="s">
        <v>575</v>
      </c>
      <c r="Y85" s="76">
        <v>5</v>
      </c>
      <c r="Z85" s="75" t="s">
        <v>419</v>
      </c>
      <c r="AA85" s="76">
        <v>213</v>
      </c>
      <c r="AB85" s="75" t="s">
        <v>33</v>
      </c>
      <c r="AC85" s="76">
        <v>235</v>
      </c>
      <c r="AD85" s="76">
        <v>5</v>
      </c>
      <c r="AE85" s="75" t="s">
        <v>383</v>
      </c>
      <c r="AF85" s="76">
        <v>1</v>
      </c>
      <c r="AG85" s="75" t="s">
        <v>418</v>
      </c>
      <c r="AH85" s="76">
        <v>2</v>
      </c>
      <c r="AJ85" s="77" t="s">
        <v>750</v>
      </c>
      <c r="AK85" s="87"/>
      <c r="AL85" s="70" t="s">
        <v>366</v>
      </c>
      <c r="AM85" s="70">
        <v>1</v>
      </c>
      <c r="AN85" s="78"/>
      <c r="AO85" s="78"/>
      <c r="AP85" s="79"/>
      <c r="AQ85" s="71" t="str">
        <f>_xlfn.CONCAT(C85,"/",D85)</f>
        <v>812/0</v>
      </c>
      <c r="AR85" s="71" t="str">
        <f>IF(D85=0,"DA CONTRATTO","SPOT")</f>
        <v>DA CONTRATTO</v>
      </c>
      <c r="AS85" s="72" t="str">
        <f>IF(AD85=5,"P","C")</f>
        <v>P</v>
      </c>
      <c r="AT85" s="71">
        <f>VLOOKUP(S85,'FILE PALLETTIZZAZIONI DB SRL'!B:H,5,FALSE)</f>
        <v>2</v>
      </c>
      <c r="AU85" s="71" t="str">
        <f>TEXT(N85,"gggg")</f>
        <v>sabato</v>
      </c>
      <c r="AV85" s="71">
        <f>WEEKNUM(N85)</f>
        <v>0</v>
      </c>
      <c r="AW85" s="71" t="str">
        <f>IF(AND(ISBLANK(N85),AS85="P"), "ATTENZIONE: Data produzione non pianificata", IF(AND(ISBLANK(N85),AS85="C"), "ATTENZIONE: Data arrivo merce acquisti non presente", IF(O85-N85&gt;=AP85, "Data sped. utile INSERITA", "ATTENZIONE: GG. resa non adeguati")))</f>
        <v>ATTENZIONE: Data produzione non pianificata</v>
      </c>
      <c r="AX85" s="71" t="str">
        <f ca="1">IF(ISBLANK(O85), "ATTENZIONE: Data non inserita", IF(O85&lt;=param!B2, "ATTENZIONE: Ritardo, Avvertire il cliente", "Data cons. rich. INSERITA"))</f>
        <v>Data cons. rich. INSERITA</v>
      </c>
      <c r="AY85" s="71" t="str">
        <f>IF(OR(ISBLANK(AP85),ISBLANK(AH85)), "ATTENZIONE: Vettore non associato", IF(V85="VETTORE", "Tipo spedizione: VETTORE", IF(V85="DESTINATARIO", "Tipo spedizione: DESTINATARIO", IF(ISBLANK(V85), "ATTENZIONE: Vettore vuoto", "?"))))</f>
        <v>ATTENZIONE: Vettore non associato</v>
      </c>
      <c r="AZ85" s="71" t="str">
        <f>IF(AM85=1, "Città OK", "ATTENZIONE: CAP non presente")</f>
        <v>Città OK</v>
      </c>
      <c r="BA85" s="73" t="s">
        <v>387</v>
      </c>
      <c r="BB85" s="73" t="str">
        <f ca="1">_xlfn.CONCAT(AW85," - ",AX85," - ",AY85," - ",AZ85," - ","Data: ",BA85)</f>
        <v>ATTENZIONE: Data produzione non pianificata - Data cons. rich. INSERITA - ATTENZIONE: Vettore non associato - Città OK - Data: ATTENZIONE: Giorno congruo presa vettore</v>
      </c>
    </row>
    <row r="86" spans="1:54" x14ac:dyDescent="0.25">
      <c r="A86" s="75" t="s">
        <v>380</v>
      </c>
      <c r="B86" s="76">
        <v>121</v>
      </c>
      <c r="C86" s="76">
        <v>824</v>
      </c>
      <c r="D86" s="76">
        <v>0</v>
      </c>
      <c r="E86" s="85">
        <v>45979</v>
      </c>
      <c r="F86" s="76">
        <v>1224</v>
      </c>
      <c r="G86" s="75" t="s">
        <v>573</v>
      </c>
      <c r="H86" s="75" t="s">
        <v>738</v>
      </c>
      <c r="I86" s="75" t="s">
        <v>739</v>
      </c>
      <c r="J86" s="75" t="s">
        <v>740</v>
      </c>
      <c r="K86" s="68">
        <v>3500</v>
      </c>
      <c r="L86" s="86"/>
      <c r="M86" s="68">
        <v>3500</v>
      </c>
      <c r="N86" s="85"/>
      <c r="O86" s="85">
        <v>46050</v>
      </c>
      <c r="P86" s="75" t="s">
        <v>30</v>
      </c>
      <c r="Q86" s="76">
        <v>8</v>
      </c>
      <c r="R86" s="76">
        <v>10</v>
      </c>
      <c r="S86" s="75" t="s">
        <v>47</v>
      </c>
      <c r="T86" s="75" t="s">
        <v>381</v>
      </c>
      <c r="U86" s="75" t="s">
        <v>415</v>
      </c>
      <c r="V86" s="75" t="s">
        <v>416</v>
      </c>
      <c r="W86" s="75" t="s">
        <v>574</v>
      </c>
      <c r="X86" s="75" t="s">
        <v>575</v>
      </c>
      <c r="Y86" s="76">
        <v>4</v>
      </c>
      <c r="Z86" s="75" t="s">
        <v>419</v>
      </c>
      <c r="AA86" s="76">
        <v>115</v>
      </c>
      <c r="AB86" s="75" t="s">
        <v>741</v>
      </c>
      <c r="AC86" s="76">
        <v>235</v>
      </c>
      <c r="AD86" s="76">
        <v>4</v>
      </c>
      <c r="AE86" s="75" t="s">
        <v>384</v>
      </c>
      <c r="AF86" s="76">
        <v>1</v>
      </c>
      <c r="AG86" s="75" t="s">
        <v>418</v>
      </c>
      <c r="AH86" s="76">
        <v>1</v>
      </c>
      <c r="AJ86" s="77" t="s">
        <v>840</v>
      </c>
      <c r="AK86" s="87"/>
      <c r="AL86" s="70" t="s">
        <v>366</v>
      </c>
      <c r="AM86" s="70">
        <v>1</v>
      </c>
      <c r="AN86" s="78" t="s">
        <v>347</v>
      </c>
      <c r="AO86" s="78" t="s">
        <v>334</v>
      </c>
      <c r="AP86" s="79">
        <v>5</v>
      </c>
      <c r="AQ86" s="71" t="str">
        <f>_xlfn.CONCAT(C86,"/",D86)</f>
        <v>824/0</v>
      </c>
      <c r="AR86" s="71" t="str">
        <f>IF(D86=0,"DA CONTRATTO","SPOT")</f>
        <v>DA CONTRATTO</v>
      </c>
      <c r="AS86" s="72" t="str">
        <f>IF(AD86=5,"P","C")</f>
        <v>C</v>
      </c>
      <c r="AT86" s="71">
        <f>VLOOKUP(S86,'FILE PALLETTIZZAZIONI DB SRL'!B:H,5,FALSE)</f>
        <v>2</v>
      </c>
      <c r="AU86" s="71" t="str">
        <f>TEXT(N86,"gggg")</f>
        <v>sabato</v>
      </c>
      <c r="AV86" s="71">
        <f>WEEKNUM(N86)</f>
        <v>0</v>
      </c>
      <c r="AW86" s="71" t="str">
        <f>IF(AND(ISBLANK(N86),AS86="P"), "ATTENZIONE: Data produzione non pianificata", IF(AND(ISBLANK(N86),AS86="C"), "ATTENZIONE: Data arrivo merce acquisti non presente", IF(O86-N86&gt;=AP86, "Data sped. utile INSERITA", "ATTENZIONE: GG. resa non adeguati")))</f>
        <v>ATTENZIONE: Data arrivo merce acquisti non presente</v>
      </c>
      <c r="AX86" s="71" t="str">
        <f ca="1">IF(ISBLANK(O86), "ATTENZIONE: Data non inserita", IF(O86&lt;=param!B2, "ATTENZIONE: Ritardo, Avvertire il cliente", "Data cons. rich. INSERITA"))</f>
        <v>Data cons. rich. INSERITA</v>
      </c>
      <c r="AY86" s="71" t="str">
        <f>IF(OR(ISBLANK(AP86),ISBLANK(AH86)), "ATTENZIONE: Vettore non associato", IF(V86="VETTORE", "Tipo spedizione: VETTORE", IF(V86="DESTINATARIO", "Tipo spedizione: DESTINATARIO", IF(ISBLANK(V86), "ATTENZIONE: Vettore vuoto", "?"))))</f>
        <v>Tipo spedizione: VETTORE</v>
      </c>
      <c r="AZ86" s="71" t="str">
        <f>IF(AM86=1, "Città OK", "ATTENZIONE: CAP non presente")</f>
        <v>Città OK</v>
      </c>
      <c r="BA86" s="73" t="s">
        <v>387</v>
      </c>
      <c r="BB86" s="73" t="str">
        <f ca="1">_xlfn.CONCAT(AW86," - ",AX86," - ",AY86," - ",AZ86," - ","Data: ",BA86)</f>
        <v>ATTENZIONE: Data arrivo merce acquisti non presente - Data cons. rich. INSERITA - Tipo spedizione: VETTORE - Città OK - Data: ATTENZIONE: Giorno congruo presa vettore</v>
      </c>
    </row>
    <row r="87" spans="1:54" x14ac:dyDescent="0.25">
      <c r="A87" s="75" t="s">
        <v>380</v>
      </c>
      <c r="B87" s="76">
        <v>127</v>
      </c>
      <c r="C87" s="76">
        <v>808</v>
      </c>
      <c r="D87" s="76">
        <v>0</v>
      </c>
      <c r="E87" s="85">
        <v>45975</v>
      </c>
      <c r="F87" s="76">
        <v>1232</v>
      </c>
      <c r="G87" s="75" t="s">
        <v>751</v>
      </c>
      <c r="H87" s="75" t="s">
        <v>752</v>
      </c>
      <c r="I87" s="75" t="s">
        <v>753</v>
      </c>
      <c r="J87" s="75" t="s">
        <v>754</v>
      </c>
      <c r="K87" s="68">
        <v>640</v>
      </c>
      <c r="L87" s="86"/>
      <c r="M87" s="68">
        <v>640</v>
      </c>
      <c r="N87" s="85"/>
      <c r="O87" s="85">
        <v>46030</v>
      </c>
      <c r="P87" s="75" t="s">
        <v>31</v>
      </c>
      <c r="Q87" s="76">
        <v>8</v>
      </c>
      <c r="R87" s="76">
        <v>10</v>
      </c>
      <c r="S87" s="75" t="s">
        <v>37</v>
      </c>
      <c r="T87" s="75" t="s">
        <v>381</v>
      </c>
      <c r="U87" s="75" t="s">
        <v>415</v>
      </c>
      <c r="V87" s="75" t="s">
        <v>416</v>
      </c>
      <c r="W87" s="75" t="s">
        <v>755</v>
      </c>
      <c r="X87" s="75" t="s">
        <v>756</v>
      </c>
      <c r="Y87" s="76">
        <v>5</v>
      </c>
      <c r="Z87" s="75" t="s">
        <v>669</v>
      </c>
      <c r="AA87" s="76">
        <v>216</v>
      </c>
      <c r="AB87" s="75" t="s">
        <v>721</v>
      </c>
      <c r="AC87" s="76">
        <v>125</v>
      </c>
      <c r="AD87" s="76">
        <v>5</v>
      </c>
      <c r="AE87" s="75" t="s">
        <v>383</v>
      </c>
      <c r="AF87" s="76">
        <v>1</v>
      </c>
      <c r="AG87" s="75" t="s">
        <v>418</v>
      </c>
      <c r="AH87" s="76">
        <v>2</v>
      </c>
      <c r="AJ87" s="77" t="s">
        <v>757</v>
      </c>
      <c r="AK87" s="87"/>
      <c r="AL87" s="70" t="s">
        <v>366</v>
      </c>
      <c r="AM87" s="70">
        <v>1</v>
      </c>
      <c r="AN87" s="78"/>
      <c r="AO87" s="78"/>
      <c r="AP87" s="79"/>
      <c r="AQ87" s="71" t="str">
        <f>_xlfn.CONCAT(C87,"/",D87)</f>
        <v>808/0</v>
      </c>
      <c r="AR87" s="71" t="str">
        <f>IF(D87=0,"DA CONTRATTO","SPOT")</f>
        <v>DA CONTRATTO</v>
      </c>
      <c r="AS87" s="72" t="str">
        <f>IF(AD87=5,"P","C")</f>
        <v>P</v>
      </c>
      <c r="AT87" s="71">
        <f>VLOOKUP(S87,'FILE PALLETTIZZAZIONI DB SRL'!B:H,5,FALSE)</f>
        <v>2</v>
      </c>
      <c r="AU87" s="71" t="str">
        <f>TEXT(N87,"gggg")</f>
        <v>sabato</v>
      </c>
      <c r="AV87" s="71">
        <f>WEEKNUM(N87)</f>
        <v>0</v>
      </c>
      <c r="AW87" s="71" t="str">
        <f>IF(AND(ISBLANK(N87),AS87="P"), "ATTENZIONE: Data produzione non pianificata", IF(AND(ISBLANK(N87),AS87="C"), "ATTENZIONE: Data arrivo merce acquisti non presente", IF(O87-N87&gt;=AP87, "Data sped. utile INSERITA", "ATTENZIONE: GG. resa non adeguati")))</f>
        <v>ATTENZIONE: Data produzione non pianificata</v>
      </c>
      <c r="AX87" s="71" t="str">
        <f ca="1">IF(ISBLANK(O87), "ATTENZIONE: Data non inserita", IF(O87&lt;=param!B2, "ATTENZIONE: Ritardo, Avvertire il cliente", "Data cons. rich. INSERITA"))</f>
        <v>Data cons. rich. INSERITA</v>
      </c>
      <c r="AY87" s="71" t="str">
        <f>IF(OR(ISBLANK(AP87),ISBLANK(AH87)), "ATTENZIONE: Vettore non associato", IF(V87="VETTORE", "Tipo spedizione: VETTORE", IF(V87="DESTINATARIO", "Tipo spedizione: DESTINATARIO", IF(ISBLANK(V87), "ATTENZIONE: Vettore vuoto", "?"))))</f>
        <v>ATTENZIONE: Vettore non associato</v>
      </c>
      <c r="AZ87" s="71" t="str">
        <f>IF(AM87=1, "Città OK", "ATTENZIONE: CAP non presente")</f>
        <v>Città OK</v>
      </c>
      <c r="BA87" s="73" t="s">
        <v>387</v>
      </c>
      <c r="BB87" s="73" t="str">
        <f ca="1">_xlfn.CONCAT(AW87," - ",AX87," - ",AY87," - ",AZ87," - ","Data: ",BA87)</f>
        <v>ATTENZIONE: Data produzione non pianificata - Data cons. rich. INSERITA - ATTENZIONE: Vettore non associato - Città OK - Data: ATTENZIONE: Giorno congruo presa vettore</v>
      </c>
    </row>
    <row r="88" spans="1:54" x14ac:dyDescent="0.25">
      <c r="A88" s="75" t="s">
        <v>380</v>
      </c>
      <c r="B88" s="76">
        <v>128</v>
      </c>
      <c r="C88" s="76">
        <v>809</v>
      </c>
      <c r="D88" s="76">
        <v>0</v>
      </c>
      <c r="E88" s="85">
        <v>45975</v>
      </c>
      <c r="F88" s="76">
        <v>1232</v>
      </c>
      <c r="G88" s="75" t="s">
        <v>751</v>
      </c>
      <c r="H88" s="75" t="s">
        <v>735</v>
      </c>
      <c r="I88" s="75" t="s">
        <v>758</v>
      </c>
      <c r="J88" s="75" t="s">
        <v>759</v>
      </c>
      <c r="K88" s="68">
        <v>640</v>
      </c>
      <c r="L88" s="86"/>
      <c r="M88" s="68">
        <v>640</v>
      </c>
      <c r="N88" s="85"/>
      <c r="O88" s="85">
        <v>46030</v>
      </c>
      <c r="P88" s="75" t="s">
        <v>31</v>
      </c>
      <c r="Q88" s="76">
        <v>8</v>
      </c>
      <c r="R88" s="76">
        <v>10</v>
      </c>
      <c r="S88" s="75" t="s">
        <v>37</v>
      </c>
      <c r="T88" s="75" t="s">
        <v>381</v>
      </c>
      <c r="U88" s="75" t="s">
        <v>415</v>
      </c>
      <c r="V88" s="75" t="s">
        <v>416</v>
      </c>
      <c r="W88" s="75" t="s">
        <v>755</v>
      </c>
      <c r="X88" s="75" t="s">
        <v>756</v>
      </c>
      <c r="Y88" s="76">
        <v>5</v>
      </c>
      <c r="Z88" s="75" t="s">
        <v>669</v>
      </c>
      <c r="AA88" s="76">
        <v>745</v>
      </c>
      <c r="AB88" s="75" t="s">
        <v>691</v>
      </c>
      <c r="AC88" s="76">
        <v>125</v>
      </c>
      <c r="AD88" s="76">
        <v>5</v>
      </c>
      <c r="AE88" s="75" t="s">
        <v>383</v>
      </c>
      <c r="AF88" s="76">
        <v>1</v>
      </c>
      <c r="AG88" s="75" t="s">
        <v>418</v>
      </c>
      <c r="AH88" s="76">
        <v>2</v>
      </c>
      <c r="AJ88" s="77" t="s">
        <v>757</v>
      </c>
      <c r="AK88" s="87"/>
      <c r="AL88" s="70" t="s">
        <v>366</v>
      </c>
      <c r="AM88" s="70">
        <v>1</v>
      </c>
      <c r="AN88" s="78"/>
      <c r="AO88" s="78"/>
      <c r="AP88" s="79"/>
      <c r="AQ88" s="71" t="str">
        <f>_xlfn.CONCAT(C88,"/",D88)</f>
        <v>809/0</v>
      </c>
      <c r="AR88" s="71" t="str">
        <f>IF(D88=0,"DA CONTRATTO","SPOT")</f>
        <v>DA CONTRATTO</v>
      </c>
      <c r="AS88" s="72" t="str">
        <f>IF(AD88=5,"P","C")</f>
        <v>P</v>
      </c>
      <c r="AT88" s="71">
        <f>VLOOKUP(S88,'FILE PALLETTIZZAZIONI DB SRL'!B:H,5,FALSE)</f>
        <v>2</v>
      </c>
      <c r="AU88" s="71" t="str">
        <f>TEXT(N88,"gggg")</f>
        <v>sabato</v>
      </c>
      <c r="AV88" s="71">
        <f>WEEKNUM(N88)</f>
        <v>0</v>
      </c>
      <c r="AW88" s="71" t="str">
        <f>IF(AND(ISBLANK(N88),AS88="P"), "ATTENZIONE: Data produzione non pianificata", IF(AND(ISBLANK(N88),AS88="C"), "ATTENZIONE: Data arrivo merce acquisti non presente", IF(O88-N88&gt;=AP88, "Data sped. utile INSERITA", "ATTENZIONE: GG. resa non adeguati")))</f>
        <v>ATTENZIONE: Data produzione non pianificata</v>
      </c>
      <c r="AX88" s="71" t="str">
        <f ca="1">IF(ISBLANK(O88), "ATTENZIONE: Data non inserita", IF(O88&lt;=param!B2, "ATTENZIONE: Ritardo, Avvertire il cliente", "Data cons. rich. INSERITA"))</f>
        <v>Data cons. rich. INSERITA</v>
      </c>
      <c r="AY88" s="71" t="str">
        <f>IF(OR(ISBLANK(AP88),ISBLANK(AH88)), "ATTENZIONE: Vettore non associato", IF(V88="VETTORE", "Tipo spedizione: VETTORE", IF(V88="DESTINATARIO", "Tipo spedizione: DESTINATARIO", IF(ISBLANK(V88), "ATTENZIONE: Vettore vuoto", "?"))))</f>
        <v>ATTENZIONE: Vettore non associato</v>
      </c>
      <c r="AZ88" s="71" t="str">
        <f>IF(AM88=1, "Città OK", "ATTENZIONE: CAP non presente")</f>
        <v>Città OK</v>
      </c>
      <c r="BA88" s="73" t="s">
        <v>387</v>
      </c>
      <c r="BB88" s="73" t="str">
        <f ca="1">_xlfn.CONCAT(AW88," - ",AX88," - ",AY88," - ",AZ88," - ","Data: ",BA88)</f>
        <v>ATTENZIONE: Data produzione non pianificata - Data cons. rich. INSERITA - ATTENZIONE: Vettore non associato - Città OK - Data: ATTENZIONE: Giorno congruo presa vettore</v>
      </c>
    </row>
    <row r="89" spans="1:54" x14ac:dyDescent="0.25">
      <c r="A89" s="75" t="s">
        <v>380</v>
      </c>
      <c r="B89" s="76">
        <v>129</v>
      </c>
      <c r="C89" s="76">
        <v>722</v>
      </c>
      <c r="D89" s="76">
        <v>0</v>
      </c>
      <c r="E89" s="85">
        <v>45923</v>
      </c>
      <c r="F89" s="76">
        <v>2382</v>
      </c>
      <c r="G89" s="75" t="s">
        <v>451</v>
      </c>
      <c r="H89" s="75" t="s">
        <v>452</v>
      </c>
      <c r="I89" s="75" t="s">
        <v>452</v>
      </c>
      <c r="J89" s="75" t="s">
        <v>400</v>
      </c>
      <c r="K89" s="68">
        <v>500</v>
      </c>
      <c r="L89" s="86"/>
      <c r="M89" s="68">
        <v>500</v>
      </c>
      <c r="N89" s="85">
        <v>45992</v>
      </c>
      <c r="O89" s="85">
        <v>46017</v>
      </c>
      <c r="P89" s="75" t="s">
        <v>31</v>
      </c>
      <c r="Q89" s="76">
        <v>8</v>
      </c>
      <c r="R89" s="76">
        <v>10</v>
      </c>
      <c r="S89" s="75" t="s">
        <v>47</v>
      </c>
      <c r="T89" s="75" t="s">
        <v>381</v>
      </c>
      <c r="U89" s="75" t="s">
        <v>415</v>
      </c>
      <c r="V89" s="75" t="s">
        <v>416</v>
      </c>
      <c r="W89" s="75" t="s">
        <v>453</v>
      </c>
      <c r="X89" s="75" t="s">
        <v>454</v>
      </c>
      <c r="Y89" s="76">
        <v>5</v>
      </c>
      <c r="Z89" s="75" t="s">
        <v>419</v>
      </c>
      <c r="AA89" s="76">
        <v>870</v>
      </c>
      <c r="AB89" s="75" t="s">
        <v>420</v>
      </c>
      <c r="AC89" s="76">
        <v>235</v>
      </c>
      <c r="AD89" s="76">
        <v>5</v>
      </c>
      <c r="AE89" s="75" t="s">
        <v>383</v>
      </c>
      <c r="AF89" s="76">
        <v>1</v>
      </c>
      <c r="AG89" s="75" t="s">
        <v>418</v>
      </c>
      <c r="AH89" s="76">
        <v>2</v>
      </c>
      <c r="AJ89" s="77" t="s">
        <v>455</v>
      </c>
      <c r="AK89" s="87"/>
      <c r="AL89" s="70" t="s">
        <v>367</v>
      </c>
      <c r="AM89" s="70">
        <v>1</v>
      </c>
      <c r="AN89" s="78"/>
      <c r="AO89" s="78"/>
      <c r="AP89" s="79"/>
      <c r="AQ89" s="71" t="str">
        <f>_xlfn.CONCAT(C89,"/",D89)</f>
        <v>722/0</v>
      </c>
      <c r="AR89" s="71" t="str">
        <f>IF(D89=0,"DA CONTRATTO","SPOT")</f>
        <v>DA CONTRATTO</v>
      </c>
      <c r="AS89" s="72" t="str">
        <f>IF(AD89=5,"P","C")</f>
        <v>P</v>
      </c>
      <c r="AT89" s="71">
        <f>VLOOKUP(S89,'FILE PALLETTIZZAZIONI DB SRL'!B:H,5,FALSE)</f>
        <v>2</v>
      </c>
      <c r="AU89" s="71" t="str">
        <f>TEXT(N89,"gggg")</f>
        <v>lunedì</v>
      </c>
      <c r="AV89" s="71">
        <f>WEEKNUM(N89)</f>
        <v>49</v>
      </c>
      <c r="AW89" s="71" t="str">
        <f>IF(AND(ISBLANK(N89),AS89="P"), "ATTENZIONE: Data produzione non pianificata", IF(AND(ISBLANK(N89),AS89="C"), "ATTENZIONE: Data arrivo merce acquisti non presente", IF(O89-N89&gt;=AP89, "Data sped. utile INSERITA", "ATTENZIONE: GG. resa non adeguati")))</f>
        <v>Data sped. utile INSERITA</v>
      </c>
      <c r="AX89" s="71" t="str">
        <f ca="1">IF(ISBLANK(O89), "ATTENZIONE: Data non inserita", IF(O89&lt;=param!B2, "ATTENZIONE: Ritardo, Avvertire il cliente", "Data cons. rich. INSERITA"))</f>
        <v>Data cons. rich. INSERITA</v>
      </c>
      <c r="AY89" s="71" t="str">
        <f>IF(OR(ISBLANK(AP89),ISBLANK(AH89)), "ATTENZIONE: Vettore non associato", IF(V89="VETTORE", "Tipo spedizione: VETTORE", IF(V89="DESTINATARIO", "Tipo spedizione: DESTINATARIO", IF(ISBLANK(V89), "ATTENZIONE: Vettore vuoto", "?"))))</f>
        <v>ATTENZIONE: Vettore non associato</v>
      </c>
      <c r="AZ89" s="71" t="str">
        <f>IF(AM89=1, "Città OK", "ATTENZIONE: CAP non presente")</f>
        <v>Città OK</v>
      </c>
      <c r="BA89" s="73" t="s">
        <v>387</v>
      </c>
      <c r="BB89" s="73" t="str">
        <f ca="1">_xlfn.CONCAT(AW89," - ",AX89," - ",AY89," - ",AZ89," - ","Data: ",BA89)</f>
        <v>Data sped. utile INSERITA - Data cons. rich. INSERITA - ATTENZIONE: Vettore non associato - Città OK - Data: ATTENZIONE: Giorno congruo presa vettore</v>
      </c>
    </row>
    <row r="90" spans="1:54" x14ac:dyDescent="0.25">
      <c r="A90" s="75" t="s">
        <v>380</v>
      </c>
      <c r="B90" s="76">
        <v>130</v>
      </c>
      <c r="C90" s="76">
        <v>815</v>
      </c>
      <c r="D90" s="76">
        <v>0</v>
      </c>
      <c r="E90" s="85">
        <v>45978</v>
      </c>
      <c r="F90" s="76">
        <v>2383</v>
      </c>
      <c r="G90" s="75" t="s">
        <v>483</v>
      </c>
      <c r="H90" s="75" t="s">
        <v>841</v>
      </c>
      <c r="I90" s="75" t="s">
        <v>842</v>
      </c>
      <c r="J90" s="75" t="s">
        <v>843</v>
      </c>
      <c r="K90" s="68">
        <v>1500</v>
      </c>
      <c r="L90" s="86"/>
      <c r="M90" s="68">
        <v>1500</v>
      </c>
      <c r="N90" s="85"/>
      <c r="O90" s="85">
        <v>45989</v>
      </c>
      <c r="P90" s="75" t="s">
        <v>31</v>
      </c>
      <c r="Q90" s="76">
        <v>8</v>
      </c>
      <c r="R90" s="76">
        <v>10</v>
      </c>
      <c r="S90" s="75" t="s">
        <v>47</v>
      </c>
      <c r="T90" s="75" t="s">
        <v>381</v>
      </c>
      <c r="U90" s="75" t="s">
        <v>415</v>
      </c>
      <c r="V90" s="75" t="s">
        <v>416</v>
      </c>
      <c r="W90" s="75" t="s">
        <v>483</v>
      </c>
      <c r="X90" s="75" t="s">
        <v>487</v>
      </c>
      <c r="Y90" s="76">
        <v>5</v>
      </c>
      <c r="Z90" s="75" t="s">
        <v>419</v>
      </c>
      <c r="AA90" s="76">
        <v>870</v>
      </c>
      <c r="AB90" s="75" t="s">
        <v>420</v>
      </c>
      <c r="AC90" s="76">
        <v>235</v>
      </c>
      <c r="AD90" s="76">
        <v>5</v>
      </c>
      <c r="AE90" s="75" t="s">
        <v>383</v>
      </c>
      <c r="AF90" s="76">
        <v>1</v>
      </c>
      <c r="AG90" s="75" t="s">
        <v>418</v>
      </c>
      <c r="AH90" s="76">
        <v>2</v>
      </c>
      <c r="AJ90" s="77" t="s">
        <v>844</v>
      </c>
      <c r="AK90" s="87"/>
      <c r="AL90" s="70" t="s">
        <v>366</v>
      </c>
      <c r="AM90" s="70">
        <v>1</v>
      </c>
      <c r="AN90" s="78"/>
      <c r="AO90" s="78"/>
      <c r="AP90" s="79"/>
      <c r="AQ90" s="71" t="str">
        <f>_xlfn.CONCAT(C90,"/",D90)</f>
        <v>815/0</v>
      </c>
      <c r="AR90" s="71" t="str">
        <f>IF(D90=0,"DA CONTRATTO","SPOT")</f>
        <v>DA CONTRATTO</v>
      </c>
      <c r="AS90" s="72" t="str">
        <f>IF(AD90=5,"P","C")</f>
        <v>P</v>
      </c>
      <c r="AT90" s="71">
        <f>VLOOKUP(S90,'FILE PALLETTIZZAZIONI DB SRL'!B:H,5,FALSE)</f>
        <v>2</v>
      </c>
      <c r="AU90" s="71" t="str">
        <f>TEXT(N90,"gggg")</f>
        <v>sabato</v>
      </c>
      <c r="AV90" s="71">
        <f>WEEKNUM(N90)</f>
        <v>0</v>
      </c>
      <c r="AW90" s="71" t="str">
        <f>IF(AND(ISBLANK(N90),AS90="P"), "ATTENZIONE: Data produzione non pianificata", IF(AND(ISBLANK(N90),AS90="C"), "ATTENZIONE: Data arrivo merce acquisti non presente", IF(O90-N90&gt;=AP90, "Data sped. utile INSERITA", "ATTENZIONE: GG. resa non adeguati")))</f>
        <v>ATTENZIONE: Data produzione non pianificata</v>
      </c>
      <c r="AX90" s="71" t="str">
        <f ca="1">IF(ISBLANK(O90), "ATTENZIONE: Data non inserita", IF(O90&lt;=param!B2, "ATTENZIONE: Ritardo, Avvertire il cliente", "Data cons. rich. INSERITA"))</f>
        <v>Data cons. rich. INSERITA</v>
      </c>
      <c r="AY90" s="71" t="str">
        <f>IF(OR(ISBLANK(AP90),ISBLANK(AH90)), "ATTENZIONE: Vettore non associato", IF(V90="VETTORE", "Tipo spedizione: VETTORE", IF(V90="DESTINATARIO", "Tipo spedizione: DESTINATARIO", IF(ISBLANK(V90), "ATTENZIONE: Vettore vuoto", "?"))))</f>
        <v>ATTENZIONE: Vettore non associato</v>
      </c>
      <c r="AZ90" s="71" t="str">
        <f>IF(AM90=1, "Città OK", "ATTENZIONE: CAP non presente")</f>
        <v>Città OK</v>
      </c>
      <c r="BA90" s="73" t="s">
        <v>387</v>
      </c>
      <c r="BB90" s="73" t="str">
        <f ca="1">_xlfn.CONCAT(AW90," - ",AX90," - ",AY90," - ",AZ90," - ","Data: ",BA90)</f>
        <v>ATTENZIONE: Data produzione non pianificata - Data cons. rich. INSERITA - ATTENZIONE: Vettore non associato - Città OK - Data: ATTENZIONE: Giorno congruo presa vettore</v>
      </c>
    </row>
    <row r="91" spans="1:54" x14ac:dyDescent="0.25">
      <c r="A91" s="75" t="s">
        <v>380</v>
      </c>
      <c r="B91" s="76">
        <v>131</v>
      </c>
      <c r="C91" s="76">
        <v>531</v>
      </c>
      <c r="D91" s="76">
        <v>800</v>
      </c>
      <c r="E91" s="85">
        <v>45945</v>
      </c>
      <c r="F91" s="76">
        <v>2383</v>
      </c>
      <c r="G91" s="75" t="s">
        <v>483</v>
      </c>
      <c r="H91" s="75" t="s">
        <v>484</v>
      </c>
      <c r="I91" s="75" t="s">
        <v>485</v>
      </c>
      <c r="J91" s="75" t="s">
        <v>486</v>
      </c>
      <c r="K91" s="68">
        <v>1000</v>
      </c>
      <c r="L91" s="86"/>
      <c r="M91" s="68">
        <v>1000</v>
      </c>
      <c r="N91" s="85"/>
      <c r="O91" s="85">
        <v>46001</v>
      </c>
      <c r="P91" s="75" t="s">
        <v>31</v>
      </c>
      <c r="Q91" s="76">
        <v>8</v>
      </c>
      <c r="R91" s="76">
        <v>10</v>
      </c>
      <c r="S91" s="75" t="s">
        <v>47</v>
      </c>
      <c r="T91" s="75" t="s">
        <v>381</v>
      </c>
      <c r="U91" s="75" t="s">
        <v>415</v>
      </c>
      <c r="V91" s="75" t="s">
        <v>416</v>
      </c>
      <c r="W91" s="75" t="s">
        <v>483</v>
      </c>
      <c r="X91" s="75" t="s">
        <v>487</v>
      </c>
      <c r="Y91" s="76">
        <v>5</v>
      </c>
      <c r="Z91" s="75" t="s">
        <v>419</v>
      </c>
      <c r="AA91" s="76">
        <v>870</v>
      </c>
      <c r="AB91" s="75" t="s">
        <v>420</v>
      </c>
      <c r="AC91" s="76">
        <v>235</v>
      </c>
      <c r="AD91" s="76">
        <v>5</v>
      </c>
      <c r="AE91" s="75" t="s">
        <v>383</v>
      </c>
      <c r="AF91" s="76">
        <v>1</v>
      </c>
      <c r="AG91" s="75" t="s">
        <v>418</v>
      </c>
      <c r="AH91" s="76">
        <v>2</v>
      </c>
      <c r="AJ91" s="77" t="s">
        <v>488</v>
      </c>
      <c r="AK91" s="87">
        <v>45943</v>
      </c>
      <c r="AL91" s="70" t="s">
        <v>366</v>
      </c>
      <c r="AM91" s="70">
        <v>1</v>
      </c>
      <c r="AN91" s="78"/>
      <c r="AO91" s="78"/>
      <c r="AP91" s="79"/>
      <c r="AQ91" s="71" t="str">
        <f>_xlfn.CONCAT(C91,"/",D91)</f>
        <v>531/800</v>
      </c>
      <c r="AR91" s="71" t="str">
        <f>IF(D91=0,"DA CONTRATTO","SPOT")</f>
        <v>SPOT</v>
      </c>
      <c r="AS91" s="72" t="str">
        <f>IF(AD91=5,"P","C")</f>
        <v>P</v>
      </c>
      <c r="AT91" s="71">
        <f>VLOOKUP(S91,'FILE PALLETTIZZAZIONI DB SRL'!B:H,5,FALSE)</f>
        <v>2</v>
      </c>
      <c r="AU91" s="71" t="str">
        <f>TEXT(N91,"gggg")</f>
        <v>sabato</v>
      </c>
      <c r="AV91" s="71">
        <f>WEEKNUM(N91)</f>
        <v>0</v>
      </c>
      <c r="AW91" s="71" t="str">
        <f>IF(AND(ISBLANK(N91),AS91="P"), "ATTENZIONE: Data produzione non pianificata", IF(AND(ISBLANK(N91),AS91="C"), "ATTENZIONE: Data arrivo merce acquisti non presente", IF(O91-N91&gt;=AP91, "Data sped. utile INSERITA", "ATTENZIONE: GG. resa non adeguati")))</f>
        <v>ATTENZIONE: Data produzione non pianificata</v>
      </c>
      <c r="AX91" s="71" t="str">
        <f ca="1">IF(ISBLANK(O91), "ATTENZIONE: Data non inserita", IF(O91&lt;=param!B2, "ATTENZIONE: Ritardo, Avvertire il cliente", "Data cons. rich. INSERITA"))</f>
        <v>Data cons. rich. INSERITA</v>
      </c>
      <c r="AY91" s="71" t="str">
        <f>IF(OR(ISBLANK(AP91),ISBLANK(AH91)), "ATTENZIONE: Vettore non associato", IF(V91="VETTORE", "Tipo spedizione: VETTORE", IF(V91="DESTINATARIO", "Tipo spedizione: DESTINATARIO", IF(ISBLANK(V91), "ATTENZIONE: Vettore vuoto", "?"))))</f>
        <v>ATTENZIONE: Vettore non associato</v>
      </c>
      <c r="AZ91" s="71" t="str">
        <f>IF(AM91=1, "Città OK", "ATTENZIONE: CAP non presente")</f>
        <v>Città OK</v>
      </c>
      <c r="BA91" s="73" t="s">
        <v>387</v>
      </c>
      <c r="BB91" s="73" t="str">
        <f ca="1">_xlfn.CONCAT(AW91," - ",AX91," - ",AY91," - ",AZ91," - ","Data: ",BA91)</f>
        <v>ATTENZIONE: Data produzione non pianificata - Data cons. rich. INSERITA - ATTENZIONE: Vettore non associato - Città OK - Data: ATTENZIONE: Giorno congruo presa vettore</v>
      </c>
    </row>
    <row r="92" spans="1:54" x14ac:dyDescent="0.25">
      <c r="A92" s="75" t="s">
        <v>380</v>
      </c>
      <c r="B92" s="76">
        <v>134</v>
      </c>
      <c r="C92" s="76">
        <v>559</v>
      </c>
      <c r="D92" s="76">
        <v>800</v>
      </c>
      <c r="E92" s="85">
        <v>45967</v>
      </c>
      <c r="F92" s="76">
        <v>2452</v>
      </c>
      <c r="G92" s="75" t="s">
        <v>639</v>
      </c>
      <c r="H92" s="75" t="s">
        <v>640</v>
      </c>
      <c r="I92" s="75" t="s">
        <v>641</v>
      </c>
      <c r="J92" s="75" t="s">
        <v>642</v>
      </c>
      <c r="K92" s="68">
        <v>160</v>
      </c>
      <c r="L92" s="86"/>
      <c r="M92" s="68">
        <v>160</v>
      </c>
      <c r="N92" s="85">
        <v>45971</v>
      </c>
      <c r="O92" s="85">
        <v>45981</v>
      </c>
      <c r="P92" s="75"/>
      <c r="Q92" s="76"/>
      <c r="R92" s="76"/>
      <c r="S92" s="75" t="s">
        <v>39</v>
      </c>
      <c r="T92" s="75" t="s">
        <v>381</v>
      </c>
      <c r="U92" s="75" t="s">
        <v>481</v>
      </c>
      <c r="V92" s="75" t="s">
        <v>35</v>
      </c>
      <c r="W92" s="75"/>
      <c r="X92" s="75"/>
      <c r="Y92" s="76">
        <v>5</v>
      </c>
      <c r="Z92" s="75" t="s">
        <v>425</v>
      </c>
      <c r="AA92" s="76">
        <v>208</v>
      </c>
      <c r="AB92" s="75" t="s">
        <v>426</v>
      </c>
      <c r="AC92" s="76">
        <v>120</v>
      </c>
      <c r="AD92" s="76">
        <v>5</v>
      </c>
      <c r="AE92" s="75" t="s">
        <v>383</v>
      </c>
      <c r="AF92" s="76">
        <v>1</v>
      </c>
      <c r="AG92" s="75" t="s">
        <v>418</v>
      </c>
      <c r="AH92" s="76"/>
      <c r="AJ92" s="77" t="s">
        <v>643</v>
      </c>
      <c r="AK92" s="87">
        <v>45964</v>
      </c>
      <c r="AL92" s="70" t="s">
        <v>368</v>
      </c>
      <c r="AM92" s="70">
        <v>0</v>
      </c>
      <c r="AN92" s="78" t="s">
        <v>352</v>
      </c>
      <c r="AO92" s="78"/>
      <c r="AP92" s="79">
        <v>3</v>
      </c>
      <c r="AQ92" s="71" t="str">
        <f>_xlfn.CONCAT(C92,"/",D92)</f>
        <v>559/800</v>
      </c>
      <c r="AR92" s="71" t="str">
        <f>IF(D92=0,"DA CONTRATTO","SPOT")</f>
        <v>SPOT</v>
      </c>
      <c r="AS92" s="72" t="str">
        <f>IF(AD92=5,"P","C")</f>
        <v>P</v>
      </c>
      <c r="AT92" s="71">
        <f>VLOOKUP(S92,'FILE PALLETTIZZAZIONI DB SRL'!B:H,5,FALSE)</f>
        <v>32</v>
      </c>
      <c r="AU92" s="71" t="str">
        <f>TEXT(N92,"gggg")</f>
        <v>lunedì</v>
      </c>
      <c r="AV92" s="71">
        <f>WEEKNUM(N92)</f>
        <v>46</v>
      </c>
      <c r="AW92" s="71" t="str">
        <f>IF(AND(ISBLANK(N92),AS92="P"), "ATTENZIONE: Data produzione non pianificata", IF(AND(ISBLANK(N92),AS92="C"), "ATTENZIONE: Data arrivo merce acquisti non presente", IF(O92-N92&gt;=AP92, "Data sped. utile INSERITA", "ATTENZIONE: GG. resa non adeguati")))</f>
        <v>Data sped. utile INSERITA</v>
      </c>
      <c r="AX92" s="71" t="str">
        <f ca="1">IF(ISBLANK(O92), "ATTENZIONE: Data non inserita", IF(O92&lt;=param!B2, "ATTENZIONE: Ritardo, Avvertire il cliente", "Data cons. rich. INSERITA"))</f>
        <v>Data cons. rich. INSERITA</v>
      </c>
      <c r="AY92" s="71" t="str">
        <f>IF(OR(ISBLANK(AP92),ISBLANK(AH92)), "ATTENZIONE: Vettore non associato", IF(V92="VETTORE", "Tipo spedizione: VETTORE", IF(V92="DESTINATARIO", "Tipo spedizione: DESTINATARIO", IF(ISBLANK(V92), "ATTENZIONE: Vettore vuoto", "?"))))</f>
        <v>ATTENZIONE: Vettore non associato</v>
      </c>
      <c r="AZ92" s="71" t="str">
        <f>IF(AM92=1, "Città OK", "ATTENZIONE: CAP non presente")</f>
        <v>ATTENZIONE: CAP non presente</v>
      </c>
      <c r="BA92" s="73" t="s">
        <v>387</v>
      </c>
      <c r="BB92" s="73" t="str">
        <f ca="1">_xlfn.CONCAT(AW92," - ",AX92," - ",AY92," - ",AZ92," - ","Data: ",BA92)</f>
        <v>Data sped. utile INSERITA - Data cons. rich. INSERITA - ATTENZIONE: Vettore non associato - ATTENZIONE: CAP non presente - Data: ATTENZIONE: Giorno congruo presa vettore</v>
      </c>
    </row>
    <row r="93" spans="1:54" x14ac:dyDescent="0.25">
      <c r="A93" s="75" t="s">
        <v>380</v>
      </c>
      <c r="B93" s="76">
        <v>135</v>
      </c>
      <c r="C93" s="76">
        <v>560</v>
      </c>
      <c r="D93" s="76">
        <v>800</v>
      </c>
      <c r="E93" s="85">
        <v>45967</v>
      </c>
      <c r="F93" s="76">
        <v>2452</v>
      </c>
      <c r="G93" s="75" t="s">
        <v>639</v>
      </c>
      <c r="H93" s="75" t="s">
        <v>640</v>
      </c>
      <c r="I93" s="75" t="s">
        <v>641</v>
      </c>
      <c r="J93" s="75" t="s">
        <v>642</v>
      </c>
      <c r="K93" s="68">
        <v>3200</v>
      </c>
      <c r="L93" s="86"/>
      <c r="M93" s="68">
        <v>3200</v>
      </c>
      <c r="N93" s="85"/>
      <c r="O93" s="85">
        <v>46027</v>
      </c>
      <c r="P93" s="75"/>
      <c r="Q93" s="76"/>
      <c r="R93" s="76"/>
      <c r="S93" s="75" t="s">
        <v>39</v>
      </c>
      <c r="T93" s="75" t="s">
        <v>381</v>
      </c>
      <c r="U93" s="75" t="s">
        <v>481</v>
      </c>
      <c r="V93" s="75" t="s">
        <v>35</v>
      </c>
      <c r="W93" s="75"/>
      <c r="X93" s="75"/>
      <c r="Y93" s="76">
        <v>5</v>
      </c>
      <c r="Z93" s="75" t="s">
        <v>425</v>
      </c>
      <c r="AA93" s="76">
        <v>208</v>
      </c>
      <c r="AB93" s="75" t="s">
        <v>426</v>
      </c>
      <c r="AC93" s="76">
        <v>120</v>
      </c>
      <c r="AD93" s="76">
        <v>5</v>
      </c>
      <c r="AE93" s="75" t="s">
        <v>383</v>
      </c>
      <c r="AF93" s="76">
        <v>1</v>
      </c>
      <c r="AG93" s="75" t="s">
        <v>418</v>
      </c>
      <c r="AH93" s="76"/>
      <c r="AJ93" s="77" t="s">
        <v>644</v>
      </c>
      <c r="AK93" s="87">
        <v>45964</v>
      </c>
      <c r="AL93" s="70" t="s">
        <v>368</v>
      </c>
      <c r="AM93" s="70">
        <v>0</v>
      </c>
      <c r="AN93" s="78" t="s">
        <v>352</v>
      </c>
      <c r="AO93" s="78"/>
      <c r="AP93" s="79">
        <v>3</v>
      </c>
      <c r="AQ93" s="71" t="str">
        <f>_xlfn.CONCAT(C93,"/",D93)</f>
        <v>560/800</v>
      </c>
      <c r="AR93" s="71" t="str">
        <f>IF(D93=0,"DA CONTRATTO","SPOT")</f>
        <v>SPOT</v>
      </c>
      <c r="AS93" s="72" t="str">
        <f>IF(AD93=5,"P","C")</f>
        <v>P</v>
      </c>
      <c r="AT93" s="71">
        <f>VLOOKUP(S93,'FILE PALLETTIZZAZIONI DB SRL'!B:H,5,FALSE)</f>
        <v>32</v>
      </c>
      <c r="AU93" s="71" t="str">
        <f>TEXT(N93,"gggg")</f>
        <v>sabato</v>
      </c>
      <c r="AV93" s="71">
        <f>WEEKNUM(N93)</f>
        <v>0</v>
      </c>
      <c r="AW93" s="71" t="str">
        <f>IF(AND(ISBLANK(N93),AS93="P"), "ATTENZIONE: Data produzione non pianificata", IF(AND(ISBLANK(N93),AS93="C"), "ATTENZIONE: Data arrivo merce acquisti non presente", IF(O93-N93&gt;=AP93, "Data sped. utile INSERITA", "ATTENZIONE: GG. resa non adeguati")))</f>
        <v>ATTENZIONE: Data produzione non pianificata</v>
      </c>
      <c r="AX93" s="71" t="str">
        <f ca="1">IF(ISBLANK(O93), "ATTENZIONE: Data non inserita", IF(O93&lt;=param!B2, "ATTENZIONE: Ritardo, Avvertire il cliente", "Data cons. rich. INSERITA"))</f>
        <v>Data cons. rich. INSERITA</v>
      </c>
      <c r="AY93" s="71" t="str">
        <f>IF(OR(ISBLANK(AP93),ISBLANK(AH93)), "ATTENZIONE: Vettore non associato", IF(V93="VETTORE", "Tipo spedizione: VETTORE", IF(V93="DESTINATARIO", "Tipo spedizione: DESTINATARIO", IF(ISBLANK(V93), "ATTENZIONE: Vettore vuoto", "?"))))</f>
        <v>ATTENZIONE: Vettore non associato</v>
      </c>
      <c r="AZ93" s="71" t="str">
        <f>IF(AM93=1, "Città OK", "ATTENZIONE: CAP non presente")</f>
        <v>ATTENZIONE: CAP non presente</v>
      </c>
      <c r="BA93" s="73" t="s">
        <v>387</v>
      </c>
      <c r="BB93" s="73" t="str">
        <f ca="1">_xlfn.CONCAT(AW93," - ",AX93," - ",AY93," - ",AZ93," - ","Data: ",BA93)</f>
        <v>ATTENZIONE: Data produzione non pianificata - Data cons. rich. INSERITA - ATTENZIONE: Vettore non associato - ATTENZIONE: CAP non presente - Data: ATTENZIONE: Giorno congruo presa vettore</v>
      </c>
    </row>
    <row r="94" spans="1:54" x14ac:dyDescent="0.25">
      <c r="A94" s="75" t="s">
        <v>380</v>
      </c>
      <c r="B94" s="76">
        <v>137</v>
      </c>
      <c r="C94" s="76">
        <v>803</v>
      </c>
      <c r="D94" s="76">
        <v>0</v>
      </c>
      <c r="E94" s="85">
        <v>45975</v>
      </c>
      <c r="F94" s="76">
        <v>2458</v>
      </c>
      <c r="G94" s="75" t="s">
        <v>760</v>
      </c>
      <c r="H94" s="75" t="s">
        <v>606</v>
      </c>
      <c r="I94" s="75" t="s">
        <v>761</v>
      </c>
      <c r="J94" s="75" t="s">
        <v>762</v>
      </c>
      <c r="K94" s="68">
        <v>640</v>
      </c>
      <c r="L94" s="86"/>
      <c r="M94" s="68">
        <v>640</v>
      </c>
      <c r="N94" s="85"/>
      <c r="O94" s="85">
        <v>45993</v>
      </c>
      <c r="P94" s="75" t="s">
        <v>31</v>
      </c>
      <c r="Q94" s="76">
        <v>8</v>
      </c>
      <c r="R94" s="76">
        <v>10</v>
      </c>
      <c r="S94" s="75" t="s">
        <v>37</v>
      </c>
      <c r="T94" s="75" t="s">
        <v>381</v>
      </c>
      <c r="U94" s="75" t="s">
        <v>415</v>
      </c>
      <c r="V94" s="75" t="s">
        <v>416</v>
      </c>
      <c r="W94" s="75" t="s">
        <v>760</v>
      </c>
      <c r="X94" s="75" t="s">
        <v>763</v>
      </c>
      <c r="Y94" s="76">
        <v>5</v>
      </c>
      <c r="Z94" s="75" t="s">
        <v>425</v>
      </c>
      <c r="AA94" s="76">
        <v>208</v>
      </c>
      <c r="AB94" s="75" t="s">
        <v>426</v>
      </c>
      <c r="AC94" s="76">
        <v>120</v>
      </c>
      <c r="AD94" s="76">
        <v>5</v>
      </c>
      <c r="AE94" s="75" t="s">
        <v>383</v>
      </c>
      <c r="AF94" s="76">
        <v>1</v>
      </c>
      <c r="AG94" s="75" t="s">
        <v>418</v>
      </c>
      <c r="AH94" s="76">
        <v>2</v>
      </c>
      <c r="AJ94" s="77" t="s">
        <v>764</v>
      </c>
      <c r="AK94" s="87"/>
      <c r="AL94" s="70" t="s">
        <v>366</v>
      </c>
      <c r="AM94" s="70">
        <v>1</v>
      </c>
      <c r="AN94" s="78"/>
      <c r="AO94" s="78"/>
      <c r="AP94" s="79"/>
      <c r="AQ94" s="71" t="str">
        <f>_xlfn.CONCAT(C94,"/",D94)</f>
        <v>803/0</v>
      </c>
      <c r="AR94" s="71" t="str">
        <f>IF(D94=0,"DA CONTRATTO","SPOT")</f>
        <v>DA CONTRATTO</v>
      </c>
      <c r="AS94" s="72" t="str">
        <f>IF(AD94=5,"P","C")</f>
        <v>P</v>
      </c>
      <c r="AT94" s="71">
        <f>VLOOKUP(S94,'FILE PALLETTIZZAZIONI DB SRL'!B:H,5,FALSE)</f>
        <v>2</v>
      </c>
      <c r="AU94" s="71" t="str">
        <f>TEXT(N94,"gggg")</f>
        <v>sabato</v>
      </c>
      <c r="AV94" s="71">
        <f>WEEKNUM(N94)</f>
        <v>0</v>
      </c>
      <c r="AW94" s="71" t="str">
        <f>IF(AND(ISBLANK(N94),AS94="P"), "ATTENZIONE: Data produzione non pianificata", IF(AND(ISBLANK(N94),AS94="C"), "ATTENZIONE: Data arrivo merce acquisti non presente", IF(O94-N94&gt;=AP94, "Data sped. utile INSERITA", "ATTENZIONE: GG. resa non adeguati")))</f>
        <v>ATTENZIONE: Data produzione non pianificata</v>
      </c>
      <c r="AX94" s="71" t="str">
        <f ca="1">IF(ISBLANK(O94), "ATTENZIONE: Data non inserita", IF(O94&lt;=param!B2, "ATTENZIONE: Ritardo, Avvertire il cliente", "Data cons. rich. INSERITA"))</f>
        <v>Data cons. rich. INSERITA</v>
      </c>
      <c r="AY94" s="71" t="str">
        <f>IF(OR(ISBLANK(AP94),ISBLANK(AH94)), "ATTENZIONE: Vettore non associato", IF(V94="VETTORE", "Tipo spedizione: VETTORE", IF(V94="DESTINATARIO", "Tipo spedizione: DESTINATARIO", IF(ISBLANK(V94), "ATTENZIONE: Vettore vuoto", "?"))))</f>
        <v>ATTENZIONE: Vettore non associato</v>
      </c>
      <c r="AZ94" s="71" t="str">
        <f>IF(AM94=1, "Città OK", "ATTENZIONE: CAP non presente")</f>
        <v>Città OK</v>
      </c>
      <c r="BA94" s="73" t="s">
        <v>387</v>
      </c>
      <c r="BB94" s="73" t="str">
        <f ca="1">_xlfn.CONCAT(AW94," - ",AX94," - ",AY94," - ",AZ94," - ","Data: ",BA94)</f>
        <v>ATTENZIONE: Data produzione non pianificata - Data cons. rich. INSERITA - ATTENZIONE: Vettore non associato - Città OK - Data: ATTENZIONE: Giorno congruo presa vettore</v>
      </c>
    </row>
    <row r="95" spans="1:54" x14ac:dyDescent="0.25">
      <c r="A95" s="75" t="s">
        <v>380</v>
      </c>
      <c r="B95" s="76">
        <v>138</v>
      </c>
      <c r="C95" s="76">
        <v>807</v>
      </c>
      <c r="D95" s="76">
        <v>0</v>
      </c>
      <c r="E95" s="85">
        <v>45975</v>
      </c>
      <c r="F95" s="76">
        <v>2458</v>
      </c>
      <c r="G95" s="75" t="s">
        <v>760</v>
      </c>
      <c r="H95" s="75" t="s">
        <v>606</v>
      </c>
      <c r="I95" s="75" t="s">
        <v>761</v>
      </c>
      <c r="J95" s="75" t="s">
        <v>762</v>
      </c>
      <c r="K95" s="68">
        <v>1240</v>
      </c>
      <c r="L95" s="86"/>
      <c r="M95" s="68">
        <v>1240</v>
      </c>
      <c r="N95" s="85"/>
      <c r="O95" s="85">
        <v>46030</v>
      </c>
      <c r="P95" s="75" t="s">
        <v>30</v>
      </c>
      <c r="Q95" s="76">
        <v>8</v>
      </c>
      <c r="R95" s="76">
        <v>10</v>
      </c>
      <c r="S95" s="75" t="s">
        <v>37</v>
      </c>
      <c r="T95" s="75" t="s">
        <v>381</v>
      </c>
      <c r="U95" s="75" t="s">
        <v>415</v>
      </c>
      <c r="V95" s="75" t="s">
        <v>416</v>
      </c>
      <c r="W95" s="75" t="s">
        <v>760</v>
      </c>
      <c r="X95" s="75" t="s">
        <v>763</v>
      </c>
      <c r="Y95" s="76">
        <v>5</v>
      </c>
      <c r="Z95" s="75" t="s">
        <v>425</v>
      </c>
      <c r="AA95" s="76">
        <v>208</v>
      </c>
      <c r="AB95" s="75" t="s">
        <v>426</v>
      </c>
      <c r="AC95" s="76">
        <v>120</v>
      </c>
      <c r="AD95" s="76">
        <v>5</v>
      </c>
      <c r="AE95" s="75" t="s">
        <v>383</v>
      </c>
      <c r="AF95" s="76">
        <v>1</v>
      </c>
      <c r="AG95" s="75" t="s">
        <v>418</v>
      </c>
      <c r="AH95" s="76">
        <v>1</v>
      </c>
      <c r="AJ95" s="77" t="s">
        <v>765</v>
      </c>
      <c r="AK95" s="87"/>
      <c r="AL95" s="70" t="s">
        <v>366</v>
      </c>
      <c r="AM95" s="70">
        <v>1</v>
      </c>
      <c r="AN95" s="78" t="s">
        <v>347</v>
      </c>
      <c r="AO95" s="78" t="s">
        <v>334</v>
      </c>
      <c r="AP95" s="79">
        <v>5</v>
      </c>
      <c r="AQ95" s="71" t="str">
        <f>_xlfn.CONCAT(C95,"/",D95)</f>
        <v>807/0</v>
      </c>
      <c r="AR95" s="71" t="str">
        <f>IF(D95=0,"DA CONTRATTO","SPOT")</f>
        <v>DA CONTRATTO</v>
      </c>
      <c r="AS95" s="72" t="str">
        <f>IF(AD95=5,"P","C")</f>
        <v>P</v>
      </c>
      <c r="AT95" s="71">
        <f>VLOOKUP(S95,'FILE PALLETTIZZAZIONI DB SRL'!B:H,5,FALSE)</f>
        <v>2</v>
      </c>
      <c r="AU95" s="71" t="str">
        <f>TEXT(N95,"gggg")</f>
        <v>sabato</v>
      </c>
      <c r="AV95" s="71">
        <f>WEEKNUM(N95)</f>
        <v>0</v>
      </c>
      <c r="AW95" s="71" t="str">
        <f>IF(AND(ISBLANK(N95),AS95="P"), "ATTENZIONE: Data produzione non pianificata", IF(AND(ISBLANK(N95),AS95="C"), "ATTENZIONE: Data arrivo merce acquisti non presente", IF(O95-N95&gt;=AP95, "Data sped. utile INSERITA", "ATTENZIONE: GG. resa non adeguati")))</f>
        <v>ATTENZIONE: Data produzione non pianificata</v>
      </c>
      <c r="AX95" s="71" t="str">
        <f ca="1">IF(ISBLANK(O95), "ATTENZIONE: Data non inserita", IF(O95&lt;=param!B2, "ATTENZIONE: Ritardo, Avvertire il cliente", "Data cons. rich. INSERITA"))</f>
        <v>Data cons. rich. INSERITA</v>
      </c>
      <c r="AY95" s="71" t="str">
        <f>IF(OR(ISBLANK(AP95),ISBLANK(AH95)), "ATTENZIONE: Vettore non associato", IF(V95="VETTORE", "Tipo spedizione: VETTORE", IF(V95="DESTINATARIO", "Tipo spedizione: DESTINATARIO", IF(ISBLANK(V95), "ATTENZIONE: Vettore vuoto", "?"))))</f>
        <v>Tipo spedizione: VETTORE</v>
      </c>
      <c r="AZ95" s="71" t="str">
        <f>IF(AM95=1, "Città OK", "ATTENZIONE: CAP non presente")</f>
        <v>Città OK</v>
      </c>
      <c r="BA95" s="73" t="s">
        <v>387</v>
      </c>
      <c r="BB95" s="73" t="str">
        <f ca="1">_xlfn.CONCAT(AW95," - ",AX95," - ",AY95," - ",AZ95," - ","Data: ",BA95)</f>
        <v>ATTENZIONE: Data produzione non pianificata - Data cons. rich. INSERITA - Tipo spedizione: VETTORE - Città OK - Data: ATTENZIONE: Giorno congruo presa vettore</v>
      </c>
    </row>
    <row r="96" spans="1:54" x14ac:dyDescent="0.25">
      <c r="A96" s="75" t="s">
        <v>380</v>
      </c>
      <c r="B96" s="76">
        <v>139</v>
      </c>
      <c r="C96" s="76">
        <v>810</v>
      </c>
      <c r="D96" s="76">
        <v>0</v>
      </c>
      <c r="E96" s="85">
        <v>45975</v>
      </c>
      <c r="F96" s="76">
        <v>2458</v>
      </c>
      <c r="G96" s="75" t="s">
        <v>760</v>
      </c>
      <c r="H96" s="75" t="s">
        <v>452</v>
      </c>
      <c r="I96" s="75" t="s">
        <v>766</v>
      </c>
      <c r="J96" s="75" t="s">
        <v>767</v>
      </c>
      <c r="K96" s="68">
        <v>1500</v>
      </c>
      <c r="L96" s="86"/>
      <c r="M96" s="68">
        <v>1500</v>
      </c>
      <c r="N96" s="85"/>
      <c r="O96" s="85">
        <v>46031</v>
      </c>
      <c r="P96" s="75" t="s">
        <v>30</v>
      </c>
      <c r="Q96" s="76">
        <v>8</v>
      </c>
      <c r="R96" s="76">
        <v>10</v>
      </c>
      <c r="S96" s="75" t="s">
        <v>47</v>
      </c>
      <c r="T96" s="75" t="s">
        <v>381</v>
      </c>
      <c r="U96" s="75" t="s">
        <v>415</v>
      </c>
      <c r="V96" s="75" t="s">
        <v>416</v>
      </c>
      <c r="W96" s="75" t="s">
        <v>760</v>
      </c>
      <c r="X96" s="75" t="s">
        <v>763</v>
      </c>
      <c r="Y96" s="76">
        <v>5</v>
      </c>
      <c r="Z96" s="75" t="s">
        <v>419</v>
      </c>
      <c r="AA96" s="76">
        <v>870</v>
      </c>
      <c r="AB96" s="75" t="s">
        <v>420</v>
      </c>
      <c r="AC96" s="76">
        <v>235</v>
      </c>
      <c r="AD96" s="76">
        <v>5</v>
      </c>
      <c r="AE96" s="75" t="s">
        <v>383</v>
      </c>
      <c r="AF96" s="76">
        <v>1</v>
      </c>
      <c r="AG96" s="75" t="s">
        <v>418</v>
      </c>
      <c r="AH96" s="76">
        <v>1</v>
      </c>
      <c r="AJ96" s="77" t="s">
        <v>768</v>
      </c>
      <c r="AK96" s="87"/>
      <c r="AL96" s="70" t="s">
        <v>366</v>
      </c>
      <c r="AM96" s="70">
        <v>1</v>
      </c>
      <c r="AN96" s="78" t="s">
        <v>347</v>
      </c>
      <c r="AO96" s="78" t="s">
        <v>334</v>
      </c>
      <c r="AP96" s="79">
        <v>5</v>
      </c>
      <c r="AQ96" s="71" t="str">
        <f>_xlfn.CONCAT(C96,"/",D96)</f>
        <v>810/0</v>
      </c>
      <c r="AR96" s="71" t="str">
        <f>IF(D96=0,"DA CONTRATTO","SPOT")</f>
        <v>DA CONTRATTO</v>
      </c>
      <c r="AS96" s="72" t="str">
        <f>IF(AD96=5,"P","C")</f>
        <v>P</v>
      </c>
      <c r="AT96" s="71">
        <f>VLOOKUP(S96,'FILE PALLETTIZZAZIONI DB SRL'!B:H,5,FALSE)</f>
        <v>2</v>
      </c>
      <c r="AU96" s="71" t="str">
        <f>TEXT(N96,"gggg")</f>
        <v>sabato</v>
      </c>
      <c r="AV96" s="71">
        <f>WEEKNUM(N96)</f>
        <v>0</v>
      </c>
      <c r="AW96" s="71" t="str">
        <f>IF(AND(ISBLANK(N96),AS96="P"), "ATTENZIONE: Data produzione non pianificata", IF(AND(ISBLANK(N96),AS96="C"), "ATTENZIONE: Data arrivo merce acquisti non presente", IF(O96-N96&gt;=AP96, "Data sped. utile INSERITA", "ATTENZIONE: GG. resa non adeguati")))</f>
        <v>ATTENZIONE: Data produzione non pianificata</v>
      </c>
      <c r="AX96" s="71" t="str">
        <f ca="1">IF(ISBLANK(O96), "ATTENZIONE: Data non inserita", IF(O96&lt;=param!B2, "ATTENZIONE: Ritardo, Avvertire il cliente", "Data cons. rich. INSERITA"))</f>
        <v>Data cons. rich. INSERITA</v>
      </c>
      <c r="AY96" s="71" t="str">
        <f>IF(OR(ISBLANK(AP96),ISBLANK(AH96)), "ATTENZIONE: Vettore non associato", IF(V96="VETTORE", "Tipo spedizione: VETTORE", IF(V96="DESTINATARIO", "Tipo spedizione: DESTINATARIO", IF(ISBLANK(V96), "ATTENZIONE: Vettore vuoto", "?"))))</f>
        <v>Tipo spedizione: VETTORE</v>
      </c>
      <c r="AZ96" s="71" t="str">
        <f>IF(AM96=1, "Città OK", "ATTENZIONE: CAP non presente")</f>
        <v>Città OK</v>
      </c>
      <c r="BA96" s="73" t="s">
        <v>387</v>
      </c>
      <c r="BB96" s="73" t="str">
        <f ca="1">_xlfn.CONCAT(AW96," - ",AX96," - ",AY96," - ",AZ96," - ","Data: ",BA96)</f>
        <v>ATTENZIONE: Data produzione non pianificata - Data cons. rich. INSERITA - Tipo spedizione: VETTORE - Città OK - Data: ATTENZIONE: Giorno congruo presa vettore</v>
      </c>
    </row>
  </sheetData>
  <autoFilter ref="A1:BB96" xr:uid="{7FF8C9AF-65D0-4046-A5CC-9D6E388517F1}"/>
  <conditionalFormatting sqref="AW2:AW96">
    <cfRule type="expression" dxfId="23" priority="3" stopIfTrue="1">
      <formula>AW2="Data sped. utile INSERITA"</formula>
    </cfRule>
    <cfRule type="expression" dxfId="22" priority="9" stopIfTrue="1">
      <formula>TRUE</formula>
    </cfRule>
  </conditionalFormatting>
  <conditionalFormatting sqref="AX2:AX96">
    <cfRule type="expression" dxfId="21" priority="4" stopIfTrue="1">
      <formula>AX2="Data cons. rich. INSERITA"</formula>
    </cfRule>
    <cfRule type="expression" dxfId="20" priority="10" stopIfTrue="1">
      <formula>TRUE</formula>
    </cfRule>
  </conditionalFormatting>
  <conditionalFormatting sqref="AY2:AY96">
    <cfRule type="expression" dxfId="19" priority="5" stopIfTrue="1">
      <formula>OR(AY2="Tipo spedizione: DESTINATARIO",AY2="Tipo spedizione: VETTORE")</formula>
    </cfRule>
    <cfRule type="expression" dxfId="18" priority="11" stopIfTrue="1">
      <formula>TRUE</formula>
    </cfRule>
  </conditionalFormatting>
  <conditionalFormatting sqref="AZ2:AZ96">
    <cfRule type="expression" dxfId="17" priority="6" stopIfTrue="1">
      <formula>AZ2="Città OK"</formula>
    </cfRule>
    <cfRule type="expression" dxfId="16" priority="12" stopIfTrue="1">
      <formula>TRUE</formula>
    </cfRule>
  </conditionalFormatting>
  <conditionalFormatting sqref="BA2:BA96">
    <cfRule type="expression" dxfId="15" priority="7" stopIfTrue="1">
      <formula>BA2="OK"</formula>
    </cfRule>
    <cfRule type="expression" dxfId="14" priority="13" stopIfTrue="1">
      <formula>TRUE</formula>
    </cfRule>
  </conditionalFormatting>
  <conditionalFormatting sqref="BB2:BB96">
    <cfRule type="expression" dxfId="13" priority="8" stopIfTrue="1">
      <formula>OR(BB2="Data sped. utile INSERITA - Data cons. rich. INSERITA - Tipo spedizione: VETTORE - Città OK - Data: OK",BB2="Data sped. utile INSERITA - Data cons. rich. INSERITA - Tipo spedizione: DESTINATARIO - Città OK - Data: OK")</formula>
    </cfRule>
    <cfRule type="expression" dxfId="12" priority="14" stopIfTrue="1">
      <formula>TRUE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A72F1803-0BFA-4305-8B6D-F0F69D760277}">
            <xm:f>N2&lt;param!$B$2</xm:f>
            <x14:dxf>
              <font>
                <b val="0"/>
                <i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N2:N96</xm:sqref>
        </x14:conditionalFormatting>
        <x14:conditionalFormatting xmlns:xm="http://schemas.microsoft.com/office/excel/2006/main">
          <x14:cfRule type="expression" priority="2" stopIfTrue="1" id="{6F8C01C5-577C-4F23-B105-C680F52FB713}">
            <xm:f>O2&lt;param!$C$2</xm:f>
            <x14:dxf>
              <font>
                <b val="0"/>
                <i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O2:O96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0ACA-5B93-4721-A38D-D17258EC1ABE}">
  <dimension ref="A1:AW9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.7109375" style="67" bestFit="1" customWidth="1"/>
    <col min="2" max="2" width="8.5703125" style="67" bestFit="1" customWidth="1"/>
    <col min="3" max="3" width="10" style="67" bestFit="1" customWidth="1"/>
    <col min="4" max="4" width="6.85546875" style="67" bestFit="1" customWidth="1"/>
    <col min="5" max="5" width="13.7109375" style="67" bestFit="1" customWidth="1"/>
    <col min="6" max="6" width="7.5703125" style="67" bestFit="1" customWidth="1"/>
    <col min="7" max="7" width="60.140625" style="67" bestFit="1" customWidth="1"/>
    <col min="8" max="8" width="23.140625" style="67" bestFit="1" customWidth="1"/>
    <col min="9" max="9" width="17.5703125" style="67" bestFit="1" customWidth="1"/>
    <col min="10" max="10" width="52.140625" style="67" bestFit="1" customWidth="1"/>
    <col min="11" max="11" width="12.140625" style="68" bestFit="1" customWidth="1"/>
    <col min="12" max="12" width="14.7109375" style="68" bestFit="1" customWidth="1"/>
    <col min="13" max="13" width="14.85546875" style="68" bestFit="1" customWidth="1"/>
    <col min="14" max="14" width="17.5703125" style="69" bestFit="1" customWidth="1"/>
    <col min="15" max="15" width="17.28515625" style="69" bestFit="1" customWidth="1"/>
    <col min="16" max="16" width="26.42578125" style="67" bestFit="1" customWidth="1"/>
    <col min="17" max="17" width="8.5703125" style="67" bestFit="1" customWidth="1"/>
    <col min="18" max="18" width="8.85546875" style="67" bestFit="1" customWidth="1"/>
    <col min="19" max="19" width="8.5703125" style="67" bestFit="1" customWidth="1"/>
    <col min="20" max="20" width="18.42578125" style="67" bestFit="1" customWidth="1"/>
    <col min="21" max="21" width="20.85546875" style="67" bestFit="1" customWidth="1"/>
    <col min="22" max="22" width="14.85546875" style="67" bestFit="1" customWidth="1"/>
    <col min="23" max="23" width="25.28515625" style="67" bestFit="1" customWidth="1"/>
    <col min="24" max="24" width="24.5703125" style="67" bestFit="1" customWidth="1"/>
    <col min="25" max="25" width="10" style="67" bestFit="1" customWidth="1"/>
    <col min="26" max="26" width="21.85546875" style="67" bestFit="1" customWidth="1"/>
    <col min="27" max="27" width="14.28515625" style="67" bestFit="1" customWidth="1"/>
    <col min="28" max="28" width="29.7109375" style="67" bestFit="1" customWidth="1"/>
    <col min="29" max="29" width="10.7109375" style="67" bestFit="1" customWidth="1"/>
    <col min="30" max="30" width="10" style="67" bestFit="1" customWidth="1"/>
    <col min="31" max="31" width="27.85546875" style="67" bestFit="1" customWidth="1"/>
    <col min="32" max="32" width="12.42578125" style="67" bestFit="1" customWidth="1"/>
    <col min="33" max="33" width="17.5703125" style="67" bestFit="1" customWidth="1"/>
    <col min="34" max="34" width="16.85546875" style="67" bestFit="1" customWidth="1"/>
    <col min="35" max="35" width="11.28515625" style="4" bestFit="1" customWidth="1"/>
    <col min="36" max="36" width="14.140625" style="4" bestFit="1" customWidth="1"/>
    <col min="37" max="37" width="25.7109375" style="4" bestFit="1" customWidth="1"/>
    <col min="38" max="38" width="9.140625" style="70" bestFit="1" customWidth="1"/>
    <col min="39" max="39" width="7" style="70" bestFit="1" customWidth="1"/>
    <col min="40" max="41" width="15.42578125" style="70" bestFit="1" customWidth="1"/>
    <col min="42" max="42" width="7.140625" style="70" bestFit="1" customWidth="1"/>
    <col min="43" max="43" width="12.28515625" style="71" bestFit="1" customWidth="1"/>
    <col min="44" max="44" width="14.7109375" style="71" bestFit="1" customWidth="1"/>
    <col min="45" max="45" width="6.5703125" style="72" bestFit="1" customWidth="1"/>
    <col min="46" max="46" width="12" style="71" bestFit="1" customWidth="1"/>
    <col min="47" max="47" width="9" style="71" bestFit="1" customWidth="1"/>
    <col min="48" max="48" width="15.42578125" style="71" bestFit="1" customWidth="1"/>
    <col min="49" max="49" width="50.5703125" style="71" bestFit="1" customWidth="1"/>
    <col min="50" max="16384" width="9.140625" style="74"/>
  </cols>
  <sheetData>
    <row r="1" spans="1:49" s="58" customFormat="1" x14ac:dyDescent="0.25">
      <c r="A1" s="61" t="s">
        <v>0</v>
      </c>
      <c r="B1" s="62" t="s">
        <v>1</v>
      </c>
      <c r="C1" s="62" t="s">
        <v>2</v>
      </c>
      <c r="D1" s="62" t="s">
        <v>3</v>
      </c>
      <c r="E1" s="84" t="s">
        <v>4</v>
      </c>
      <c r="F1" s="62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8" t="s">
        <v>10</v>
      </c>
      <c r="L1" s="62" t="s">
        <v>11</v>
      </c>
      <c r="M1" s="58" t="s">
        <v>12</v>
      </c>
      <c r="N1" s="84" t="s">
        <v>13</v>
      </c>
      <c r="O1" s="84" t="s">
        <v>14</v>
      </c>
      <c r="P1" s="61" t="s">
        <v>16</v>
      </c>
      <c r="Q1" s="62" t="s">
        <v>17</v>
      </c>
      <c r="R1" s="62" t="s">
        <v>18</v>
      </c>
      <c r="S1" s="61" t="s">
        <v>19</v>
      </c>
      <c r="T1" s="61" t="s">
        <v>20</v>
      </c>
      <c r="U1" s="61" t="s">
        <v>21</v>
      </c>
      <c r="V1" s="61" t="s">
        <v>22</v>
      </c>
      <c r="W1" s="61" t="s">
        <v>23</v>
      </c>
      <c r="X1" s="61" t="s">
        <v>24</v>
      </c>
      <c r="Y1" s="62" t="s">
        <v>25</v>
      </c>
      <c r="Z1" s="61" t="s">
        <v>327</v>
      </c>
      <c r="AA1" s="62" t="s">
        <v>26</v>
      </c>
      <c r="AB1" s="61" t="s">
        <v>328</v>
      </c>
      <c r="AC1" s="62" t="s">
        <v>27</v>
      </c>
      <c r="AD1" s="62" t="s">
        <v>25</v>
      </c>
      <c r="AE1" s="61" t="s">
        <v>69</v>
      </c>
      <c r="AF1" s="62" t="s">
        <v>70</v>
      </c>
      <c r="AG1" s="61" t="s">
        <v>71</v>
      </c>
      <c r="AH1" s="63" t="s">
        <v>343</v>
      </c>
      <c r="AI1" s="58" t="s">
        <v>389</v>
      </c>
      <c r="AJ1" s="61" t="s">
        <v>15</v>
      </c>
      <c r="AK1" s="84" t="s">
        <v>390</v>
      </c>
      <c r="AL1" s="64" t="s">
        <v>344</v>
      </c>
      <c r="AM1" s="65" t="s">
        <v>358</v>
      </c>
      <c r="AN1" s="64" t="s">
        <v>345</v>
      </c>
      <c r="AO1" s="64" t="s">
        <v>346</v>
      </c>
      <c r="AP1" s="65" t="s">
        <v>332</v>
      </c>
      <c r="AQ1" s="66" t="s">
        <v>72</v>
      </c>
      <c r="AR1" s="66" t="s">
        <v>73</v>
      </c>
      <c r="AS1" s="66" t="s">
        <v>68</v>
      </c>
      <c r="AT1" s="66" t="s">
        <v>329</v>
      </c>
      <c r="AU1" s="66" t="s">
        <v>338</v>
      </c>
      <c r="AV1" s="63" t="s">
        <v>391</v>
      </c>
      <c r="AW1" s="66" t="s">
        <v>355</v>
      </c>
    </row>
    <row r="2" spans="1:49" x14ac:dyDescent="0.25">
      <c r="A2" s="75" t="s">
        <v>380</v>
      </c>
      <c r="B2" s="76">
        <v>1</v>
      </c>
      <c r="C2" s="76">
        <v>557</v>
      </c>
      <c r="D2" s="76">
        <v>800</v>
      </c>
      <c r="E2" s="85">
        <v>45964</v>
      </c>
      <c r="F2" s="76">
        <v>58</v>
      </c>
      <c r="G2" s="75" t="s">
        <v>578</v>
      </c>
      <c r="H2" s="75" t="s">
        <v>580</v>
      </c>
      <c r="I2" s="75" t="s">
        <v>581</v>
      </c>
      <c r="J2" s="75" t="s">
        <v>582</v>
      </c>
      <c r="K2" s="68">
        <v>6400</v>
      </c>
      <c r="L2" s="86"/>
      <c r="M2" s="68">
        <v>6400</v>
      </c>
      <c r="N2" s="85"/>
      <c r="O2" s="85">
        <v>45991</v>
      </c>
      <c r="P2" s="75" t="s">
        <v>414</v>
      </c>
      <c r="Q2" s="76">
        <v>8</v>
      </c>
      <c r="R2" s="76">
        <v>10</v>
      </c>
      <c r="S2" s="75" t="s">
        <v>37</v>
      </c>
      <c r="T2" s="75" t="s">
        <v>381</v>
      </c>
      <c r="U2" s="75" t="s">
        <v>415</v>
      </c>
      <c r="V2" s="75" t="s">
        <v>416</v>
      </c>
      <c r="W2" s="75" t="s">
        <v>578</v>
      </c>
      <c r="X2" s="75" t="s">
        <v>579</v>
      </c>
      <c r="Y2" s="76">
        <v>5</v>
      </c>
      <c r="Z2" s="75" t="s">
        <v>33</v>
      </c>
      <c r="AA2" s="76">
        <v>978</v>
      </c>
      <c r="AB2" s="75" t="s">
        <v>583</v>
      </c>
      <c r="AC2" s="76">
        <v>180</v>
      </c>
      <c r="AD2" s="76">
        <v>5</v>
      </c>
      <c r="AE2" s="75" t="s">
        <v>383</v>
      </c>
      <c r="AF2" s="76">
        <v>1</v>
      </c>
      <c r="AG2" s="75" t="s">
        <v>418</v>
      </c>
      <c r="AH2" s="76">
        <v>70</v>
      </c>
      <c r="AJ2" s="77" t="s">
        <v>584</v>
      </c>
      <c r="AK2" s="87">
        <v>45981</v>
      </c>
      <c r="AL2" s="78" t="s">
        <v>366</v>
      </c>
      <c r="AM2" s="79">
        <v>1</v>
      </c>
      <c r="AN2" s="78"/>
      <c r="AO2" s="78"/>
      <c r="AP2" s="79"/>
      <c r="AQ2" s="80" t="s">
        <v>592</v>
      </c>
      <c r="AR2" s="80" t="s">
        <v>396</v>
      </c>
      <c r="AS2" s="81" t="s">
        <v>433</v>
      </c>
      <c r="AT2" s="80" t="s">
        <v>431</v>
      </c>
      <c r="AU2" s="80" t="s">
        <v>395</v>
      </c>
      <c r="AV2" s="82">
        <v>0</v>
      </c>
      <c r="AW2" s="80" t="s">
        <v>434</v>
      </c>
    </row>
    <row r="3" spans="1:49" x14ac:dyDescent="0.25">
      <c r="A3" s="75" t="s">
        <v>380</v>
      </c>
      <c r="B3" s="76">
        <v>2</v>
      </c>
      <c r="C3" s="76">
        <v>802</v>
      </c>
      <c r="D3" s="76">
        <v>0</v>
      </c>
      <c r="E3" s="85">
        <v>45975</v>
      </c>
      <c r="F3" s="76">
        <v>64</v>
      </c>
      <c r="G3" s="75" t="s">
        <v>678</v>
      </c>
      <c r="H3" s="75" t="s">
        <v>718</v>
      </c>
      <c r="I3" s="75" t="s">
        <v>719</v>
      </c>
      <c r="J3" s="75" t="s">
        <v>720</v>
      </c>
      <c r="K3" s="68">
        <v>3072</v>
      </c>
      <c r="L3" s="86"/>
      <c r="M3" s="68">
        <v>3072</v>
      </c>
      <c r="N3" s="85"/>
      <c r="O3" s="85">
        <v>46001</v>
      </c>
      <c r="P3" s="75" t="s">
        <v>414</v>
      </c>
      <c r="Q3" s="76">
        <v>8</v>
      </c>
      <c r="R3" s="76">
        <v>10</v>
      </c>
      <c r="S3" s="75" t="s">
        <v>29</v>
      </c>
      <c r="T3" s="75" t="s">
        <v>381</v>
      </c>
      <c r="U3" s="75" t="s">
        <v>415</v>
      </c>
      <c r="V3" s="75" t="s">
        <v>416</v>
      </c>
      <c r="W3" s="75" t="s">
        <v>678</v>
      </c>
      <c r="X3" s="75" t="s">
        <v>682</v>
      </c>
      <c r="Y3" s="76">
        <v>5</v>
      </c>
      <c r="Z3" s="75" t="s">
        <v>669</v>
      </c>
      <c r="AA3" s="76">
        <v>216</v>
      </c>
      <c r="AB3" s="75" t="s">
        <v>721</v>
      </c>
      <c r="AC3" s="76">
        <v>125</v>
      </c>
      <c r="AD3" s="76">
        <v>5</v>
      </c>
      <c r="AE3" s="75" t="s">
        <v>383</v>
      </c>
      <c r="AF3" s="76">
        <v>1</v>
      </c>
      <c r="AG3" s="75" t="s">
        <v>418</v>
      </c>
      <c r="AH3" s="76">
        <v>70</v>
      </c>
      <c r="AJ3" s="77" t="s">
        <v>722</v>
      </c>
      <c r="AK3" s="87"/>
      <c r="AL3" s="78" t="s">
        <v>366</v>
      </c>
      <c r="AM3" s="79">
        <v>1</v>
      </c>
      <c r="AN3" s="78"/>
      <c r="AO3" s="78"/>
      <c r="AP3" s="79"/>
      <c r="AQ3" s="80" t="s">
        <v>769</v>
      </c>
      <c r="AR3" s="80" t="s">
        <v>394</v>
      </c>
      <c r="AS3" s="81" t="s">
        <v>433</v>
      </c>
      <c r="AT3" s="80" t="s">
        <v>431</v>
      </c>
      <c r="AU3" s="80" t="s">
        <v>395</v>
      </c>
      <c r="AV3" s="82">
        <v>0</v>
      </c>
      <c r="AW3" s="80" t="s">
        <v>434</v>
      </c>
    </row>
    <row r="4" spans="1:49" x14ac:dyDescent="0.25">
      <c r="A4" s="75" t="s">
        <v>380</v>
      </c>
      <c r="B4" s="76">
        <v>3</v>
      </c>
      <c r="C4" s="76">
        <v>563</v>
      </c>
      <c r="D4" s="76">
        <v>800</v>
      </c>
      <c r="E4" s="85">
        <v>45972</v>
      </c>
      <c r="F4" s="76">
        <v>64</v>
      </c>
      <c r="G4" s="75" t="s">
        <v>678</v>
      </c>
      <c r="H4" s="75" t="s">
        <v>679</v>
      </c>
      <c r="I4" s="75" t="s">
        <v>680</v>
      </c>
      <c r="J4" s="75" t="s">
        <v>681</v>
      </c>
      <c r="K4" s="68">
        <v>1000</v>
      </c>
      <c r="L4" s="86"/>
      <c r="M4" s="68">
        <v>1000</v>
      </c>
      <c r="N4" s="85"/>
      <c r="O4" s="85">
        <v>46001</v>
      </c>
      <c r="P4" s="75" t="s">
        <v>30</v>
      </c>
      <c r="Q4" s="76">
        <v>8</v>
      </c>
      <c r="R4" s="76">
        <v>10</v>
      </c>
      <c r="S4" s="75" t="s">
        <v>47</v>
      </c>
      <c r="T4" s="75" t="s">
        <v>381</v>
      </c>
      <c r="U4" s="75" t="s">
        <v>415</v>
      </c>
      <c r="V4" s="75" t="s">
        <v>416</v>
      </c>
      <c r="W4" s="75" t="s">
        <v>678</v>
      </c>
      <c r="X4" s="75" t="s">
        <v>682</v>
      </c>
      <c r="Y4" s="76">
        <v>5</v>
      </c>
      <c r="Z4" s="75" t="s">
        <v>419</v>
      </c>
      <c r="AA4" s="76">
        <v>213</v>
      </c>
      <c r="AB4" s="75" t="s">
        <v>33</v>
      </c>
      <c r="AC4" s="76">
        <v>235</v>
      </c>
      <c r="AD4" s="76">
        <v>5</v>
      </c>
      <c r="AE4" s="75" t="s">
        <v>383</v>
      </c>
      <c r="AF4" s="76">
        <v>1</v>
      </c>
      <c r="AG4" s="75" t="s">
        <v>418</v>
      </c>
      <c r="AH4" s="76">
        <v>1</v>
      </c>
      <c r="AJ4" s="77" t="s">
        <v>683</v>
      </c>
      <c r="AK4" s="87">
        <v>45982</v>
      </c>
      <c r="AL4" s="78" t="s">
        <v>366</v>
      </c>
      <c r="AM4" s="79">
        <v>1</v>
      </c>
      <c r="AN4" s="78" t="s">
        <v>347</v>
      </c>
      <c r="AO4" s="78" t="s">
        <v>334</v>
      </c>
      <c r="AP4" s="79">
        <v>5</v>
      </c>
      <c r="AQ4" s="80" t="s">
        <v>696</v>
      </c>
      <c r="AR4" s="80" t="s">
        <v>396</v>
      </c>
      <c r="AS4" s="81" t="s">
        <v>433</v>
      </c>
      <c r="AT4" s="80" t="s">
        <v>431</v>
      </c>
      <c r="AU4" s="80" t="s">
        <v>395</v>
      </c>
      <c r="AV4" s="82">
        <v>0</v>
      </c>
      <c r="AW4" s="80" t="s">
        <v>434</v>
      </c>
    </row>
    <row r="5" spans="1:49" x14ac:dyDescent="0.25">
      <c r="A5" s="75" t="s">
        <v>380</v>
      </c>
      <c r="B5" s="76">
        <v>4</v>
      </c>
      <c r="C5" s="76">
        <v>244</v>
      </c>
      <c r="D5" s="76">
        <v>0</v>
      </c>
      <c r="E5" s="85">
        <v>45713</v>
      </c>
      <c r="F5" s="76">
        <v>113</v>
      </c>
      <c r="G5" s="75" t="s">
        <v>544</v>
      </c>
      <c r="H5" s="75" t="s">
        <v>545</v>
      </c>
      <c r="I5" s="75" t="s">
        <v>546</v>
      </c>
      <c r="J5" s="75" t="s">
        <v>547</v>
      </c>
      <c r="K5" s="68">
        <v>640</v>
      </c>
      <c r="L5" s="86"/>
      <c r="M5" s="68">
        <v>640</v>
      </c>
      <c r="N5" s="85"/>
      <c r="O5" s="85"/>
      <c r="P5" s="75" t="s">
        <v>30</v>
      </c>
      <c r="Q5" s="76">
        <v>8</v>
      </c>
      <c r="R5" s="76">
        <v>10</v>
      </c>
      <c r="S5" s="75" t="s">
        <v>32</v>
      </c>
      <c r="T5" s="75" t="s">
        <v>381</v>
      </c>
      <c r="U5" s="75" t="s">
        <v>415</v>
      </c>
      <c r="V5" s="75" t="s">
        <v>416</v>
      </c>
      <c r="W5" s="75" t="s">
        <v>544</v>
      </c>
      <c r="X5" s="75" t="s">
        <v>548</v>
      </c>
      <c r="Y5" s="76">
        <v>4</v>
      </c>
      <c r="Z5" s="75" t="s">
        <v>33</v>
      </c>
      <c r="AA5" s="76">
        <v>830</v>
      </c>
      <c r="AB5" s="75" t="s">
        <v>549</v>
      </c>
      <c r="AC5" s="76">
        <v>180</v>
      </c>
      <c r="AD5" s="76">
        <v>4</v>
      </c>
      <c r="AE5" s="75" t="s">
        <v>384</v>
      </c>
      <c r="AF5" s="76">
        <v>1</v>
      </c>
      <c r="AG5" s="75" t="s">
        <v>418</v>
      </c>
      <c r="AH5" s="76">
        <v>1</v>
      </c>
      <c r="AJ5" s="77" t="s">
        <v>550</v>
      </c>
      <c r="AK5" s="87"/>
      <c r="AL5" s="78" t="s">
        <v>366</v>
      </c>
      <c r="AM5" s="79">
        <v>1</v>
      </c>
      <c r="AN5" s="78" t="s">
        <v>347</v>
      </c>
      <c r="AO5" s="78" t="s">
        <v>334</v>
      </c>
      <c r="AP5" s="79">
        <v>5</v>
      </c>
      <c r="AQ5" s="80" t="s">
        <v>563</v>
      </c>
      <c r="AR5" s="80" t="s">
        <v>394</v>
      </c>
      <c r="AS5" s="81" t="s">
        <v>398</v>
      </c>
      <c r="AT5" s="80" t="s">
        <v>435</v>
      </c>
      <c r="AU5" s="80" t="s">
        <v>395</v>
      </c>
      <c r="AV5" s="82">
        <v>0</v>
      </c>
      <c r="AW5" s="80" t="s">
        <v>399</v>
      </c>
    </row>
    <row r="6" spans="1:49" x14ac:dyDescent="0.25">
      <c r="A6" s="75" t="s">
        <v>380</v>
      </c>
      <c r="B6" s="76">
        <v>5</v>
      </c>
      <c r="C6" s="76">
        <v>266</v>
      </c>
      <c r="D6" s="76">
        <v>0</v>
      </c>
      <c r="E6" s="85">
        <v>45715</v>
      </c>
      <c r="F6" s="76">
        <v>113</v>
      </c>
      <c r="G6" s="75" t="s">
        <v>544</v>
      </c>
      <c r="H6" s="75" t="s">
        <v>545</v>
      </c>
      <c r="I6" s="75" t="s">
        <v>546</v>
      </c>
      <c r="J6" s="75" t="s">
        <v>547</v>
      </c>
      <c r="K6" s="68">
        <v>640</v>
      </c>
      <c r="L6" s="86"/>
      <c r="M6" s="68">
        <v>640</v>
      </c>
      <c r="N6" s="85"/>
      <c r="O6" s="85"/>
      <c r="P6" s="75" t="s">
        <v>30</v>
      </c>
      <c r="Q6" s="76">
        <v>8</v>
      </c>
      <c r="R6" s="76">
        <v>10</v>
      </c>
      <c r="S6" s="75" t="s">
        <v>32</v>
      </c>
      <c r="T6" s="75" t="s">
        <v>381</v>
      </c>
      <c r="U6" s="75" t="s">
        <v>415</v>
      </c>
      <c r="V6" s="75" t="s">
        <v>416</v>
      </c>
      <c r="W6" s="75" t="s">
        <v>544</v>
      </c>
      <c r="X6" s="75" t="s">
        <v>548</v>
      </c>
      <c r="Y6" s="76">
        <v>4</v>
      </c>
      <c r="Z6" s="75" t="s">
        <v>33</v>
      </c>
      <c r="AA6" s="76">
        <v>830</v>
      </c>
      <c r="AB6" s="75" t="s">
        <v>549</v>
      </c>
      <c r="AC6" s="76">
        <v>180</v>
      </c>
      <c r="AD6" s="76">
        <v>4</v>
      </c>
      <c r="AE6" s="75" t="s">
        <v>384</v>
      </c>
      <c r="AF6" s="76">
        <v>1</v>
      </c>
      <c r="AG6" s="75" t="s">
        <v>418</v>
      </c>
      <c r="AH6" s="76">
        <v>1</v>
      </c>
      <c r="AJ6" s="77" t="s">
        <v>550</v>
      </c>
      <c r="AK6" s="87"/>
      <c r="AL6" s="78" t="s">
        <v>366</v>
      </c>
      <c r="AM6" s="79">
        <v>1</v>
      </c>
      <c r="AN6" s="78" t="s">
        <v>347</v>
      </c>
      <c r="AO6" s="78" t="s">
        <v>334</v>
      </c>
      <c r="AP6" s="79">
        <v>5</v>
      </c>
      <c r="AQ6" s="80" t="s">
        <v>565</v>
      </c>
      <c r="AR6" s="80" t="s">
        <v>394</v>
      </c>
      <c r="AS6" s="81" t="s">
        <v>398</v>
      </c>
      <c r="AT6" s="80" t="s">
        <v>435</v>
      </c>
      <c r="AU6" s="80" t="s">
        <v>395</v>
      </c>
      <c r="AV6" s="82">
        <v>0</v>
      </c>
      <c r="AW6" s="80" t="s">
        <v>399</v>
      </c>
    </row>
    <row r="7" spans="1:49" x14ac:dyDescent="0.25">
      <c r="A7" s="75" t="s">
        <v>380</v>
      </c>
      <c r="B7" s="76">
        <v>6</v>
      </c>
      <c r="C7" s="76">
        <v>768</v>
      </c>
      <c r="D7" s="76">
        <v>0</v>
      </c>
      <c r="E7" s="85">
        <v>45958</v>
      </c>
      <c r="F7" s="76">
        <v>284</v>
      </c>
      <c r="G7" s="75" t="s">
        <v>448</v>
      </c>
      <c r="H7" s="75" t="s">
        <v>540</v>
      </c>
      <c r="I7" s="75" t="s">
        <v>541</v>
      </c>
      <c r="J7" s="75" t="s">
        <v>513</v>
      </c>
      <c r="K7" s="68">
        <v>0.5</v>
      </c>
      <c r="L7" s="86"/>
      <c r="M7" s="68">
        <v>0.5</v>
      </c>
      <c r="N7" s="85"/>
      <c r="O7" s="85">
        <v>45980</v>
      </c>
      <c r="P7" s="75" t="s">
        <v>414</v>
      </c>
      <c r="Q7" s="76">
        <v>8</v>
      </c>
      <c r="R7" s="76">
        <v>10</v>
      </c>
      <c r="S7" s="75" t="s">
        <v>509</v>
      </c>
      <c r="T7" s="75" t="s">
        <v>783</v>
      </c>
      <c r="U7" s="75" t="s">
        <v>415</v>
      </c>
      <c r="V7" s="75" t="s">
        <v>416</v>
      </c>
      <c r="W7" s="75" t="s">
        <v>449</v>
      </c>
      <c r="X7" s="75" t="s">
        <v>450</v>
      </c>
      <c r="Y7" s="76">
        <v>4</v>
      </c>
      <c r="Z7" s="75" t="s">
        <v>425</v>
      </c>
      <c r="AA7" s="76">
        <v>199</v>
      </c>
      <c r="AB7" s="75" t="s">
        <v>472</v>
      </c>
      <c r="AC7" s="76">
        <v>120</v>
      </c>
      <c r="AD7" s="76">
        <v>4</v>
      </c>
      <c r="AE7" s="75" t="s">
        <v>384</v>
      </c>
      <c r="AF7" s="76">
        <v>1</v>
      </c>
      <c r="AG7" s="75" t="s">
        <v>418</v>
      </c>
      <c r="AH7" s="76">
        <v>70</v>
      </c>
      <c r="AJ7" s="77" t="s">
        <v>514</v>
      </c>
      <c r="AK7" s="87"/>
      <c r="AL7" s="78" t="s">
        <v>366</v>
      </c>
      <c r="AM7" s="79">
        <v>1</v>
      </c>
      <c r="AN7" s="78"/>
      <c r="AO7" s="78"/>
      <c r="AP7" s="79"/>
      <c r="AQ7" s="80" t="s">
        <v>531</v>
      </c>
      <c r="AR7" s="80" t="s">
        <v>394</v>
      </c>
      <c r="AS7" s="81" t="s">
        <v>398</v>
      </c>
      <c r="AT7" s="80" t="s">
        <v>410</v>
      </c>
      <c r="AU7" s="80" t="s">
        <v>395</v>
      </c>
      <c r="AV7" s="82">
        <v>0</v>
      </c>
      <c r="AW7" s="80" t="s">
        <v>399</v>
      </c>
    </row>
    <row r="8" spans="1:49" x14ac:dyDescent="0.25">
      <c r="A8" s="75" t="s">
        <v>380</v>
      </c>
      <c r="B8" s="76">
        <v>7</v>
      </c>
      <c r="C8" s="76">
        <v>770</v>
      </c>
      <c r="D8" s="76">
        <v>0</v>
      </c>
      <c r="E8" s="85">
        <v>45958</v>
      </c>
      <c r="F8" s="76">
        <v>284</v>
      </c>
      <c r="G8" s="75" t="s">
        <v>448</v>
      </c>
      <c r="H8" s="75" t="s">
        <v>469</v>
      </c>
      <c r="I8" s="75" t="s">
        <v>470</v>
      </c>
      <c r="J8" s="75" t="s">
        <v>471</v>
      </c>
      <c r="K8" s="68">
        <v>640</v>
      </c>
      <c r="L8" s="86">
        <v>340</v>
      </c>
      <c r="M8" s="68">
        <v>300</v>
      </c>
      <c r="N8" s="85"/>
      <c r="O8" s="85">
        <v>45986</v>
      </c>
      <c r="P8" s="75" t="s">
        <v>31</v>
      </c>
      <c r="Q8" s="76">
        <v>8</v>
      </c>
      <c r="R8" s="76">
        <v>10</v>
      </c>
      <c r="S8" s="75" t="s">
        <v>37</v>
      </c>
      <c r="T8" s="75" t="s">
        <v>783</v>
      </c>
      <c r="U8" s="75" t="s">
        <v>415</v>
      </c>
      <c r="V8" s="75" t="s">
        <v>416</v>
      </c>
      <c r="W8" s="75" t="s">
        <v>449</v>
      </c>
      <c r="X8" s="75" t="s">
        <v>450</v>
      </c>
      <c r="Y8" s="76">
        <v>4</v>
      </c>
      <c r="Z8" s="75" t="s">
        <v>425</v>
      </c>
      <c r="AA8" s="76">
        <v>199</v>
      </c>
      <c r="AB8" s="75" t="s">
        <v>472</v>
      </c>
      <c r="AC8" s="76">
        <v>120</v>
      </c>
      <c r="AD8" s="76">
        <v>4</v>
      </c>
      <c r="AE8" s="75" t="s">
        <v>384</v>
      </c>
      <c r="AF8" s="76">
        <v>1</v>
      </c>
      <c r="AG8" s="75" t="s">
        <v>418</v>
      </c>
      <c r="AH8" s="76">
        <v>2</v>
      </c>
      <c r="AJ8" s="77" t="s">
        <v>518</v>
      </c>
      <c r="AK8" s="87"/>
      <c r="AL8" s="78" t="s">
        <v>366</v>
      </c>
      <c r="AM8" s="79">
        <v>1</v>
      </c>
      <c r="AN8" s="78"/>
      <c r="AO8" s="78"/>
      <c r="AP8" s="79"/>
      <c r="AQ8" s="80" t="s">
        <v>532</v>
      </c>
      <c r="AR8" s="80" t="s">
        <v>394</v>
      </c>
      <c r="AS8" s="81" t="s">
        <v>398</v>
      </c>
      <c r="AT8" s="80" t="s">
        <v>431</v>
      </c>
      <c r="AU8" s="80" t="s">
        <v>395</v>
      </c>
      <c r="AV8" s="82">
        <v>0</v>
      </c>
      <c r="AW8" s="80" t="s">
        <v>399</v>
      </c>
    </row>
    <row r="9" spans="1:49" x14ac:dyDescent="0.25">
      <c r="A9" s="75" t="s">
        <v>380</v>
      </c>
      <c r="B9" s="76">
        <v>8</v>
      </c>
      <c r="C9" s="76">
        <v>770</v>
      </c>
      <c r="D9" s="76">
        <v>0</v>
      </c>
      <c r="E9" s="85">
        <v>45958</v>
      </c>
      <c r="F9" s="76">
        <v>284</v>
      </c>
      <c r="G9" s="75" t="s">
        <v>448</v>
      </c>
      <c r="H9" s="75" t="s">
        <v>510</v>
      </c>
      <c r="I9" s="75" t="s">
        <v>508</v>
      </c>
      <c r="J9" s="75" t="s">
        <v>471</v>
      </c>
      <c r="K9" s="68">
        <v>0.5</v>
      </c>
      <c r="L9" s="86"/>
      <c r="M9" s="68">
        <v>0.5</v>
      </c>
      <c r="N9" s="85"/>
      <c r="O9" s="85">
        <v>45986</v>
      </c>
      <c r="P9" s="75" t="s">
        <v>31</v>
      </c>
      <c r="Q9" s="76">
        <v>8</v>
      </c>
      <c r="R9" s="76">
        <v>10</v>
      </c>
      <c r="S9" s="75" t="s">
        <v>509</v>
      </c>
      <c r="T9" s="75" t="s">
        <v>783</v>
      </c>
      <c r="U9" s="75" t="s">
        <v>415</v>
      </c>
      <c r="V9" s="75" t="s">
        <v>416</v>
      </c>
      <c r="W9" s="75" t="s">
        <v>449</v>
      </c>
      <c r="X9" s="75" t="s">
        <v>450</v>
      </c>
      <c r="Y9" s="76">
        <v>4</v>
      </c>
      <c r="Z9" s="75" t="s">
        <v>425</v>
      </c>
      <c r="AA9" s="76">
        <v>199</v>
      </c>
      <c r="AB9" s="75" t="s">
        <v>472</v>
      </c>
      <c r="AC9" s="76">
        <v>120</v>
      </c>
      <c r="AD9" s="76">
        <v>4</v>
      </c>
      <c r="AE9" s="75" t="s">
        <v>384</v>
      </c>
      <c r="AF9" s="76">
        <v>1</v>
      </c>
      <c r="AG9" s="75" t="s">
        <v>418</v>
      </c>
      <c r="AH9" s="76">
        <v>2</v>
      </c>
      <c r="AJ9" s="77" t="s">
        <v>518</v>
      </c>
      <c r="AK9" s="87"/>
      <c r="AL9" s="78" t="s">
        <v>366</v>
      </c>
      <c r="AM9" s="79">
        <v>1</v>
      </c>
      <c r="AN9" s="78"/>
      <c r="AO9" s="78"/>
      <c r="AP9" s="79"/>
      <c r="AQ9" s="80" t="s">
        <v>532</v>
      </c>
      <c r="AR9" s="80" t="s">
        <v>394</v>
      </c>
      <c r="AS9" s="81" t="s">
        <v>398</v>
      </c>
      <c r="AT9" s="80" t="s">
        <v>410</v>
      </c>
      <c r="AU9" s="80" t="s">
        <v>395</v>
      </c>
      <c r="AV9" s="82">
        <v>0</v>
      </c>
      <c r="AW9" s="80" t="s">
        <v>399</v>
      </c>
    </row>
    <row r="10" spans="1:49" x14ac:dyDescent="0.25">
      <c r="A10" s="75" t="s">
        <v>380</v>
      </c>
      <c r="B10" s="76">
        <v>9</v>
      </c>
      <c r="C10" s="76">
        <v>796</v>
      </c>
      <c r="D10" s="76">
        <v>0</v>
      </c>
      <c r="E10" s="85">
        <v>45972</v>
      </c>
      <c r="F10" s="76">
        <v>284</v>
      </c>
      <c r="G10" s="75" t="s">
        <v>448</v>
      </c>
      <c r="H10" s="75" t="s">
        <v>666</v>
      </c>
      <c r="I10" s="75" t="s">
        <v>667</v>
      </c>
      <c r="J10" s="75" t="s">
        <v>668</v>
      </c>
      <c r="K10" s="68">
        <v>1296</v>
      </c>
      <c r="L10" s="86"/>
      <c r="M10" s="68">
        <v>1296</v>
      </c>
      <c r="N10" s="85">
        <v>45996</v>
      </c>
      <c r="O10" s="85">
        <v>46003</v>
      </c>
      <c r="P10" s="75" t="s">
        <v>30</v>
      </c>
      <c r="Q10" s="76">
        <v>8</v>
      </c>
      <c r="R10" s="76">
        <v>10</v>
      </c>
      <c r="S10" s="75" t="s">
        <v>29</v>
      </c>
      <c r="T10" s="75" t="s">
        <v>381</v>
      </c>
      <c r="U10" s="75" t="s">
        <v>415</v>
      </c>
      <c r="V10" s="75" t="s">
        <v>416</v>
      </c>
      <c r="W10" s="75" t="s">
        <v>449</v>
      </c>
      <c r="X10" s="75" t="s">
        <v>450</v>
      </c>
      <c r="Y10" s="76">
        <v>5</v>
      </c>
      <c r="Z10" s="75" t="s">
        <v>669</v>
      </c>
      <c r="AA10" s="76">
        <v>213</v>
      </c>
      <c r="AB10" s="75" t="s">
        <v>33</v>
      </c>
      <c r="AC10" s="76">
        <v>125</v>
      </c>
      <c r="AD10" s="76">
        <v>5</v>
      </c>
      <c r="AE10" s="75" t="s">
        <v>383</v>
      </c>
      <c r="AF10" s="76">
        <v>1</v>
      </c>
      <c r="AG10" s="75" t="s">
        <v>418</v>
      </c>
      <c r="AH10" s="76">
        <v>1</v>
      </c>
      <c r="AJ10" s="77" t="s">
        <v>670</v>
      </c>
      <c r="AK10" s="87"/>
      <c r="AL10" s="78" t="s">
        <v>366</v>
      </c>
      <c r="AM10" s="79">
        <v>1</v>
      </c>
      <c r="AN10" s="78" t="s">
        <v>347</v>
      </c>
      <c r="AO10" s="78" t="s">
        <v>334</v>
      </c>
      <c r="AP10" s="79">
        <v>5</v>
      </c>
      <c r="AQ10" s="80" t="s">
        <v>675</v>
      </c>
      <c r="AR10" s="80" t="s">
        <v>394</v>
      </c>
      <c r="AS10" s="81" t="s">
        <v>433</v>
      </c>
      <c r="AT10" s="80" t="s">
        <v>431</v>
      </c>
      <c r="AU10" s="80" t="s">
        <v>334</v>
      </c>
      <c r="AV10" s="82">
        <v>49</v>
      </c>
      <c r="AW10" s="80" t="s">
        <v>436</v>
      </c>
    </row>
    <row r="11" spans="1:49" x14ac:dyDescent="0.25">
      <c r="A11" s="75" t="s">
        <v>380</v>
      </c>
      <c r="B11" s="76">
        <v>10</v>
      </c>
      <c r="C11" s="76">
        <v>796</v>
      </c>
      <c r="D11" s="76">
        <v>0</v>
      </c>
      <c r="E11" s="85">
        <v>45972</v>
      </c>
      <c r="F11" s="76">
        <v>284</v>
      </c>
      <c r="G11" s="75" t="s">
        <v>448</v>
      </c>
      <c r="H11" s="75" t="s">
        <v>671</v>
      </c>
      <c r="I11" s="75" t="s">
        <v>672</v>
      </c>
      <c r="J11" s="75" t="s">
        <v>668</v>
      </c>
      <c r="K11" s="68">
        <v>0.5</v>
      </c>
      <c r="L11" s="86"/>
      <c r="M11" s="68">
        <v>0.5</v>
      </c>
      <c r="N11" s="85">
        <v>45996</v>
      </c>
      <c r="O11" s="85">
        <v>46003</v>
      </c>
      <c r="P11" s="75" t="s">
        <v>30</v>
      </c>
      <c r="Q11" s="76">
        <v>8</v>
      </c>
      <c r="R11" s="76">
        <v>10</v>
      </c>
      <c r="S11" s="75" t="s">
        <v>509</v>
      </c>
      <c r="T11" s="75" t="s">
        <v>381</v>
      </c>
      <c r="U11" s="75" t="s">
        <v>415</v>
      </c>
      <c r="V11" s="75" t="s">
        <v>416</v>
      </c>
      <c r="W11" s="75" t="s">
        <v>449</v>
      </c>
      <c r="X11" s="75" t="s">
        <v>450</v>
      </c>
      <c r="Y11" s="76">
        <v>5</v>
      </c>
      <c r="Z11" s="75" t="s">
        <v>669</v>
      </c>
      <c r="AA11" s="76">
        <v>213</v>
      </c>
      <c r="AB11" s="75" t="s">
        <v>33</v>
      </c>
      <c r="AC11" s="76">
        <v>125</v>
      </c>
      <c r="AD11" s="76">
        <v>5</v>
      </c>
      <c r="AE11" s="75" t="s">
        <v>383</v>
      </c>
      <c r="AF11" s="76">
        <v>1</v>
      </c>
      <c r="AG11" s="75" t="s">
        <v>418</v>
      </c>
      <c r="AH11" s="76">
        <v>1</v>
      </c>
      <c r="AJ11" s="77" t="s">
        <v>670</v>
      </c>
      <c r="AK11" s="87"/>
      <c r="AL11" s="78" t="s">
        <v>366</v>
      </c>
      <c r="AM11" s="79">
        <v>1</v>
      </c>
      <c r="AN11" s="78" t="s">
        <v>347</v>
      </c>
      <c r="AO11" s="78" t="s">
        <v>334</v>
      </c>
      <c r="AP11" s="79">
        <v>5</v>
      </c>
      <c r="AQ11" s="80" t="s">
        <v>675</v>
      </c>
      <c r="AR11" s="80" t="s">
        <v>394</v>
      </c>
      <c r="AS11" s="81" t="s">
        <v>433</v>
      </c>
      <c r="AT11" s="80" t="s">
        <v>410</v>
      </c>
      <c r="AU11" s="80" t="s">
        <v>334</v>
      </c>
      <c r="AV11" s="82">
        <v>49</v>
      </c>
      <c r="AW11" s="80" t="s">
        <v>436</v>
      </c>
    </row>
    <row r="12" spans="1:49" x14ac:dyDescent="0.25">
      <c r="A12" s="75" t="s">
        <v>380</v>
      </c>
      <c r="B12" s="76">
        <v>11</v>
      </c>
      <c r="C12" s="76">
        <v>797</v>
      </c>
      <c r="D12" s="76">
        <v>0</v>
      </c>
      <c r="E12" s="85">
        <v>45972</v>
      </c>
      <c r="F12" s="76">
        <v>284</v>
      </c>
      <c r="G12" s="75" t="s">
        <v>448</v>
      </c>
      <c r="H12" s="75" t="s">
        <v>469</v>
      </c>
      <c r="I12" s="75" t="s">
        <v>470</v>
      </c>
      <c r="J12" s="75" t="s">
        <v>471</v>
      </c>
      <c r="K12" s="68">
        <v>640</v>
      </c>
      <c r="L12" s="86"/>
      <c r="M12" s="68">
        <v>640</v>
      </c>
      <c r="N12" s="85"/>
      <c r="O12" s="85">
        <v>46001</v>
      </c>
      <c r="P12" s="75" t="s">
        <v>31</v>
      </c>
      <c r="Q12" s="76">
        <v>8</v>
      </c>
      <c r="R12" s="76">
        <v>10</v>
      </c>
      <c r="S12" s="75" t="s">
        <v>37</v>
      </c>
      <c r="T12" s="75" t="s">
        <v>381</v>
      </c>
      <c r="U12" s="75" t="s">
        <v>415</v>
      </c>
      <c r="V12" s="75" t="s">
        <v>416</v>
      </c>
      <c r="W12" s="75" t="s">
        <v>449</v>
      </c>
      <c r="X12" s="75" t="s">
        <v>450</v>
      </c>
      <c r="Y12" s="76">
        <v>4</v>
      </c>
      <c r="Z12" s="75" t="s">
        <v>425</v>
      </c>
      <c r="AA12" s="76">
        <v>199</v>
      </c>
      <c r="AB12" s="75" t="s">
        <v>472</v>
      </c>
      <c r="AC12" s="76">
        <v>120</v>
      </c>
      <c r="AD12" s="76">
        <v>4</v>
      </c>
      <c r="AE12" s="75" t="s">
        <v>384</v>
      </c>
      <c r="AF12" s="76">
        <v>1</v>
      </c>
      <c r="AG12" s="75" t="s">
        <v>418</v>
      </c>
      <c r="AH12" s="76">
        <v>2</v>
      </c>
      <c r="AJ12" s="77" t="s">
        <v>673</v>
      </c>
      <c r="AK12" s="87"/>
      <c r="AL12" s="78" t="s">
        <v>366</v>
      </c>
      <c r="AM12" s="79">
        <v>1</v>
      </c>
      <c r="AN12" s="78"/>
      <c r="AO12" s="78"/>
      <c r="AP12" s="79"/>
      <c r="AQ12" s="80" t="s">
        <v>676</v>
      </c>
      <c r="AR12" s="80" t="s">
        <v>394</v>
      </c>
      <c r="AS12" s="81" t="s">
        <v>398</v>
      </c>
      <c r="AT12" s="80" t="s">
        <v>431</v>
      </c>
      <c r="AU12" s="80" t="s">
        <v>395</v>
      </c>
      <c r="AV12" s="82">
        <v>0</v>
      </c>
      <c r="AW12" s="80" t="s">
        <v>399</v>
      </c>
    </row>
    <row r="13" spans="1:49" x14ac:dyDescent="0.25">
      <c r="A13" s="75" t="s">
        <v>380</v>
      </c>
      <c r="B13" s="76">
        <v>12</v>
      </c>
      <c r="C13" s="76">
        <v>797</v>
      </c>
      <c r="D13" s="76">
        <v>0</v>
      </c>
      <c r="E13" s="85">
        <v>45972</v>
      </c>
      <c r="F13" s="76">
        <v>284</v>
      </c>
      <c r="G13" s="75" t="s">
        <v>448</v>
      </c>
      <c r="H13" s="75" t="s">
        <v>510</v>
      </c>
      <c r="I13" s="75" t="s">
        <v>508</v>
      </c>
      <c r="J13" s="75" t="s">
        <v>471</v>
      </c>
      <c r="K13" s="68">
        <v>0.5</v>
      </c>
      <c r="L13" s="86"/>
      <c r="M13" s="68">
        <v>0.5</v>
      </c>
      <c r="N13" s="85"/>
      <c r="O13" s="85">
        <v>46001</v>
      </c>
      <c r="P13" s="75" t="s">
        <v>31</v>
      </c>
      <c r="Q13" s="76">
        <v>8</v>
      </c>
      <c r="R13" s="76">
        <v>10</v>
      </c>
      <c r="S13" s="75" t="s">
        <v>509</v>
      </c>
      <c r="T13" s="75" t="s">
        <v>381</v>
      </c>
      <c r="U13" s="75" t="s">
        <v>415</v>
      </c>
      <c r="V13" s="75" t="s">
        <v>416</v>
      </c>
      <c r="W13" s="75" t="s">
        <v>449</v>
      </c>
      <c r="X13" s="75" t="s">
        <v>450</v>
      </c>
      <c r="Y13" s="76">
        <v>4</v>
      </c>
      <c r="Z13" s="75" t="s">
        <v>425</v>
      </c>
      <c r="AA13" s="76">
        <v>199</v>
      </c>
      <c r="AB13" s="75" t="s">
        <v>472</v>
      </c>
      <c r="AC13" s="76">
        <v>120</v>
      </c>
      <c r="AD13" s="76">
        <v>4</v>
      </c>
      <c r="AE13" s="75" t="s">
        <v>384</v>
      </c>
      <c r="AF13" s="76">
        <v>1</v>
      </c>
      <c r="AG13" s="75" t="s">
        <v>418</v>
      </c>
      <c r="AH13" s="76">
        <v>2</v>
      </c>
      <c r="AJ13" s="77" t="s">
        <v>673</v>
      </c>
      <c r="AK13" s="87"/>
      <c r="AL13" s="78" t="s">
        <v>366</v>
      </c>
      <c r="AM13" s="79">
        <v>1</v>
      </c>
      <c r="AN13" s="78"/>
      <c r="AO13" s="78"/>
      <c r="AP13" s="79"/>
      <c r="AQ13" s="80" t="s">
        <v>676</v>
      </c>
      <c r="AR13" s="80" t="s">
        <v>394</v>
      </c>
      <c r="AS13" s="81" t="s">
        <v>398</v>
      </c>
      <c r="AT13" s="80" t="s">
        <v>410</v>
      </c>
      <c r="AU13" s="80" t="s">
        <v>395</v>
      </c>
      <c r="AV13" s="82">
        <v>0</v>
      </c>
      <c r="AW13" s="80" t="s">
        <v>399</v>
      </c>
    </row>
    <row r="14" spans="1:49" x14ac:dyDescent="0.25">
      <c r="A14" s="75" t="s">
        <v>380</v>
      </c>
      <c r="B14" s="76">
        <v>13</v>
      </c>
      <c r="C14" s="76">
        <v>798</v>
      </c>
      <c r="D14" s="76">
        <v>0</v>
      </c>
      <c r="E14" s="85">
        <v>45972</v>
      </c>
      <c r="F14" s="76">
        <v>284</v>
      </c>
      <c r="G14" s="75" t="s">
        <v>448</v>
      </c>
      <c r="H14" s="75" t="s">
        <v>478</v>
      </c>
      <c r="I14" s="75" t="s">
        <v>479</v>
      </c>
      <c r="J14" s="75" t="s">
        <v>480</v>
      </c>
      <c r="K14" s="68">
        <v>640</v>
      </c>
      <c r="L14" s="86"/>
      <c r="M14" s="68">
        <v>640</v>
      </c>
      <c r="N14" s="85">
        <v>45996</v>
      </c>
      <c r="O14" s="85">
        <v>46001</v>
      </c>
      <c r="P14" s="75" t="s">
        <v>31</v>
      </c>
      <c r="Q14" s="76">
        <v>8</v>
      </c>
      <c r="R14" s="76">
        <v>10</v>
      </c>
      <c r="S14" s="75" t="s">
        <v>37</v>
      </c>
      <c r="T14" s="75" t="s">
        <v>381</v>
      </c>
      <c r="U14" s="75" t="s">
        <v>415</v>
      </c>
      <c r="V14" s="75" t="s">
        <v>416</v>
      </c>
      <c r="W14" s="75" t="s">
        <v>449</v>
      </c>
      <c r="X14" s="75" t="s">
        <v>450</v>
      </c>
      <c r="Y14" s="76">
        <v>5</v>
      </c>
      <c r="Z14" s="75" t="s">
        <v>425</v>
      </c>
      <c r="AA14" s="76">
        <v>208</v>
      </c>
      <c r="AB14" s="75" t="s">
        <v>426</v>
      </c>
      <c r="AC14" s="76">
        <v>120</v>
      </c>
      <c r="AD14" s="76">
        <v>5</v>
      </c>
      <c r="AE14" s="75" t="s">
        <v>383</v>
      </c>
      <c r="AF14" s="76">
        <v>1</v>
      </c>
      <c r="AG14" s="75" t="s">
        <v>418</v>
      </c>
      <c r="AH14" s="76">
        <v>2</v>
      </c>
      <c r="AJ14" s="77" t="s">
        <v>674</v>
      </c>
      <c r="AK14" s="87"/>
      <c r="AL14" s="78" t="s">
        <v>366</v>
      </c>
      <c r="AM14" s="79">
        <v>1</v>
      </c>
      <c r="AN14" s="78"/>
      <c r="AO14" s="78"/>
      <c r="AP14" s="79"/>
      <c r="AQ14" s="80" t="s">
        <v>677</v>
      </c>
      <c r="AR14" s="80" t="s">
        <v>394</v>
      </c>
      <c r="AS14" s="81" t="s">
        <v>433</v>
      </c>
      <c r="AT14" s="80" t="s">
        <v>431</v>
      </c>
      <c r="AU14" s="80" t="s">
        <v>334</v>
      </c>
      <c r="AV14" s="82">
        <v>49</v>
      </c>
      <c r="AW14" s="80" t="s">
        <v>436</v>
      </c>
    </row>
    <row r="15" spans="1:49" x14ac:dyDescent="0.25">
      <c r="A15" s="75" t="s">
        <v>380</v>
      </c>
      <c r="B15" s="76">
        <v>14</v>
      </c>
      <c r="C15" s="76">
        <v>798</v>
      </c>
      <c r="D15" s="76">
        <v>0</v>
      </c>
      <c r="E15" s="85">
        <v>45972</v>
      </c>
      <c r="F15" s="76">
        <v>284</v>
      </c>
      <c r="G15" s="75" t="s">
        <v>448</v>
      </c>
      <c r="H15" s="75" t="s">
        <v>538</v>
      </c>
      <c r="I15" s="75" t="s">
        <v>539</v>
      </c>
      <c r="J15" s="75" t="s">
        <v>480</v>
      </c>
      <c r="K15" s="68">
        <v>0.5</v>
      </c>
      <c r="L15" s="86"/>
      <c r="M15" s="68">
        <v>0.5</v>
      </c>
      <c r="N15" s="85">
        <v>45996</v>
      </c>
      <c r="O15" s="85">
        <v>46001</v>
      </c>
      <c r="P15" s="75" t="s">
        <v>31</v>
      </c>
      <c r="Q15" s="76">
        <v>8</v>
      </c>
      <c r="R15" s="76">
        <v>10</v>
      </c>
      <c r="S15" s="75" t="s">
        <v>509</v>
      </c>
      <c r="T15" s="75" t="s">
        <v>381</v>
      </c>
      <c r="U15" s="75" t="s">
        <v>415</v>
      </c>
      <c r="V15" s="75" t="s">
        <v>416</v>
      </c>
      <c r="W15" s="75" t="s">
        <v>449</v>
      </c>
      <c r="X15" s="75" t="s">
        <v>450</v>
      </c>
      <c r="Y15" s="76">
        <v>5</v>
      </c>
      <c r="Z15" s="75" t="s">
        <v>425</v>
      </c>
      <c r="AA15" s="76">
        <v>208</v>
      </c>
      <c r="AB15" s="75" t="s">
        <v>426</v>
      </c>
      <c r="AC15" s="76">
        <v>120</v>
      </c>
      <c r="AD15" s="76">
        <v>5</v>
      </c>
      <c r="AE15" s="75" t="s">
        <v>383</v>
      </c>
      <c r="AF15" s="76">
        <v>1</v>
      </c>
      <c r="AG15" s="75" t="s">
        <v>418</v>
      </c>
      <c r="AH15" s="76">
        <v>2</v>
      </c>
      <c r="AJ15" s="77" t="s">
        <v>674</v>
      </c>
      <c r="AK15" s="87"/>
      <c r="AL15" s="78" t="s">
        <v>366</v>
      </c>
      <c r="AM15" s="79">
        <v>1</v>
      </c>
      <c r="AN15" s="78"/>
      <c r="AO15" s="78"/>
      <c r="AP15" s="79"/>
      <c r="AQ15" s="80" t="s">
        <v>677</v>
      </c>
      <c r="AR15" s="80" t="s">
        <v>394</v>
      </c>
      <c r="AS15" s="81" t="s">
        <v>433</v>
      </c>
      <c r="AT15" s="80" t="s">
        <v>410</v>
      </c>
      <c r="AU15" s="80" t="s">
        <v>334</v>
      </c>
      <c r="AV15" s="82">
        <v>49</v>
      </c>
      <c r="AW15" s="80" t="s">
        <v>436</v>
      </c>
    </row>
    <row r="16" spans="1:49" x14ac:dyDescent="0.25">
      <c r="A16" s="75" t="s">
        <v>380</v>
      </c>
      <c r="B16" s="76">
        <v>15</v>
      </c>
      <c r="C16" s="76">
        <v>799</v>
      </c>
      <c r="D16" s="76">
        <v>0</v>
      </c>
      <c r="E16" s="85">
        <v>45972</v>
      </c>
      <c r="F16" s="76">
        <v>284</v>
      </c>
      <c r="G16" s="75" t="s">
        <v>448</v>
      </c>
      <c r="H16" s="75" t="s">
        <v>511</v>
      </c>
      <c r="I16" s="75" t="s">
        <v>512</v>
      </c>
      <c r="J16" s="75" t="s">
        <v>513</v>
      </c>
      <c r="K16" s="68">
        <v>640</v>
      </c>
      <c r="L16" s="86"/>
      <c r="M16" s="68">
        <v>640</v>
      </c>
      <c r="N16" s="85"/>
      <c r="O16" s="85">
        <v>46001</v>
      </c>
      <c r="P16" s="75" t="s">
        <v>414</v>
      </c>
      <c r="Q16" s="76">
        <v>8</v>
      </c>
      <c r="R16" s="76">
        <v>10</v>
      </c>
      <c r="S16" s="75" t="s">
        <v>37</v>
      </c>
      <c r="T16" s="75" t="s">
        <v>381</v>
      </c>
      <c r="U16" s="75" t="s">
        <v>415</v>
      </c>
      <c r="V16" s="75" t="s">
        <v>416</v>
      </c>
      <c r="W16" s="75" t="s">
        <v>449</v>
      </c>
      <c r="X16" s="75" t="s">
        <v>450</v>
      </c>
      <c r="Y16" s="76">
        <v>4</v>
      </c>
      <c r="Z16" s="75" t="s">
        <v>425</v>
      </c>
      <c r="AA16" s="76">
        <v>199</v>
      </c>
      <c r="AB16" s="75" t="s">
        <v>472</v>
      </c>
      <c r="AC16" s="76">
        <v>120</v>
      </c>
      <c r="AD16" s="76">
        <v>4</v>
      </c>
      <c r="AE16" s="75" t="s">
        <v>384</v>
      </c>
      <c r="AF16" s="76">
        <v>1</v>
      </c>
      <c r="AG16" s="75" t="s">
        <v>418</v>
      </c>
      <c r="AH16" s="76">
        <v>70</v>
      </c>
      <c r="AJ16" s="77" t="s">
        <v>684</v>
      </c>
      <c r="AK16" s="87"/>
      <c r="AL16" s="78" t="s">
        <v>366</v>
      </c>
      <c r="AM16" s="79">
        <v>1</v>
      </c>
      <c r="AN16" s="78"/>
      <c r="AO16" s="78"/>
      <c r="AP16" s="79"/>
      <c r="AQ16" s="80" t="s">
        <v>697</v>
      </c>
      <c r="AR16" s="80" t="s">
        <v>394</v>
      </c>
      <c r="AS16" s="81" t="s">
        <v>398</v>
      </c>
      <c r="AT16" s="80" t="s">
        <v>431</v>
      </c>
      <c r="AU16" s="80" t="s">
        <v>395</v>
      </c>
      <c r="AV16" s="82">
        <v>0</v>
      </c>
      <c r="AW16" s="80" t="s">
        <v>399</v>
      </c>
    </row>
    <row r="17" spans="1:49" x14ac:dyDescent="0.25">
      <c r="A17" s="75" t="s">
        <v>380</v>
      </c>
      <c r="B17" s="76">
        <v>16</v>
      </c>
      <c r="C17" s="76">
        <v>799</v>
      </c>
      <c r="D17" s="76">
        <v>0</v>
      </c>
      <c r="E17" s="85">
        <v>45972</v>
      </c>
      <c r="F17" s="76">
        <v>284</v>
      </c>
      <c r="G17" s="75" t="s">
        <v>448</v>
      </c>
      <c r="H17" s="75" t="s">
        <v>540</v>
      </c>
      <c r="I17" s="75" t="s">
        <v>541</v>
      </c>
      <c r="J17" s="75" t="s">
        <v>513</v>
      </c>
      <c r="K17" s="68">
        <v>0.5</v>
      </c>
      <c r="L17" s="86"/>
      <c r="M17" s="68">
        <v>0.5</v>
      </c>
      <c r="N17" s="85"/>
      <c r="O17" s="85">
        <v>46001</v>
      </c>
      <c r="P17" s="75" t="s">
        <v>414</v>
      </c>
      <c r="Q17" s="76">
        <v>8</v>
      </c>
      <c r="R17" s="76">
        <v>10</v>
      </c>
      <c r="S17" s="75" t="s">
        <v>509</v>
      </c>
      <c r="T17" s="75" t="s">
        <v>381</v>
      </c>
      <c r="U17" s="75" t="s">
        <v>415</v>
      </c>
      <c r="V17" s="75" t="s">
        <v>416</v>
      </c>
      <c r="W17" s="75" t="s">
        <v>449</v>
      </c>
      <c r="X17" s="75" t="s">
        <v>450</v>
      </c>
      <c r="Y17" s="76">
        <v>4</v>
      </c>
      <c r="Z17" s="75" t="s">
        <v>425</v>
      </c>
      <c r="AA17" s="76">
        <v>199</v>
      </c>
      <c r="AB17" s="75" t="s">
        <v>472</v>
      </c>
      <c r="AC17" s="76">
        <v>120</v>
      </c>
      <c r="AD17" s="76">
        <v>4</v>
      </c>
      <c r="AE17" s="75" t="s">
        <v>384</v>
      </c>
      <c r="AF17" s="76">
        <v>1</v>
      </c>
      <c r="AG17" s="75" t="s">
        <v>418</v>
      </c>
      <c r="AH17" s="76">
        <v>70</v>
      </c>
      <c r="AJ17" s="77" t="s">
        <v>684</v>
      </c>
      <c r="AK17" s="87"/>
      <c r="AL17" s="78" t="s">
        <v>366</v>
      </c>
      <c r="AM17" s="79">
        <v>1</v>
      </c>
      <c r="AN17" s="78"/>
      <c r="AO17" s="78"/>
      <c r="AP17" s="79"/>
      <c r="AQ17" s="80" t="s">
        <v>697</v>
      </c>
      <c r="AR17" s="80" t="s">
        <v>394</v>
      </c>
      <c r="AS17" s="81" t="s">
        <v>398</v>
      </c>
      <c r="AT17" s="80" t="s">
        <v>410</v>
      </c>
      <c r="AU17" s="80" t="s">
        <v>395</v>
      </c>
      <c r="AV17" s="82">
        <v>0</v>
      </c>
      <c r="AW17" s="80" t="s">
        <v>399</v>
      </c>
    </row>
    <row r="18" spans="1:49" x14ac:dyDescent="0.25">
      <c r="A18" s="75" t="s">
        <v>380</v>
      </c>
      <c r="B18" s="76">
        <v>17</v>
      </c>
      <c r="C18" s="76">
        <v>800</v>
      </c>
      <c r="D18" s="76">
        <v>0</v>
      </c>
      <c r="E18" s="85">
        <v>45972</v>
      </c>
      <c r="F18" s="76">
        <v>284</v>
      </c>
      <c r="G18" s="75" t="s">
        <v>448</v>
      </c>
      <c r="H18" s="75" t="s">
        <v>515</v>
      </c>
      <c r="I18" s="75" t="s">
        <v>516</v>
      </c>
      <c r="J18" s="75" t="s">
        <v>517</v>
      </c>
      <c r="K18" s="68">
        <v>640</v>
      </c>
      <c r="L18" s="86"/>
      <c r="M18" s="68">
        <v>640</v>
      </c>
      <c r="N18" s="85">
        <v>45996</v>
      </c>
      <c r="O18" s="85">
        <v>46001</v>
      </c>
      <c r="P18" s="75" t="s">
        <v>414</v>
      </c>
      <c r="Q18" s="76">
        <v>8</v>
      </c>
      <c r="R18" s="76">
        <v>10</v>
      </c>
      <c r="S18" s="75" t="s">
        <v>37</v>
      </c>
      <c r="T18" s="75" t="s">
        <v>381</v>
      </c>
      <c r="U18" s="75" t="s">
        <v>415</v>
      </c>
      <c r="V18" s="75" t="s">
        <v>416</v>
      </c>
      <c r="W18" s="75" t="s">
        <v>449</v>
      </c>
      <c r="X18" s="75" t="s">
        <v>450</v>
      </c>
      <c r="Y18" s="76">
        <v>5</v>
      </c>
      <c r="Z18" s="75" t="s">
        <v>425</v>
      </c>
      <c r="AA18" s="76">
        <v>208</v>
      </c>
      <c r="AB18" s="75" t="s">
        <v>426</v>
      </c>
      <c r="AC18" s="76">
        <v>120</v>
      </c>
      <c r="AD18" s="76">
        <v>5</v>
      </c>
      <c r="AE18" s="75" t="s">
        <v>383</v>
      </c>
      <c r="AF18" s="76">
        <v>1</v>
      </c>
      <c r="AG18" s="75" t="s">
        <v>418</v>
      </c>
      <c r="AH18" s="76">
        <v>70</v>
      </c>
      <c r="AJ18" s="77" t="s">
        <v>685</v>
      </c>
      <c r="AK18" s="87"/>
      <c r="AL18" s="78" t="s">
        <v>366</v>
      </c>
      <c r="AM18" s="79">
        <v>1</v>
      </c>
      <c r="AN18" s="78"/>
      <c r="AO18" s="78"/>
      <c r="AP18" s="79"/>
      <c r="AQ18" s="80" t="s">
        <v>698</v>
      </c>
      <c r="AR18" s="80" t="s">
        <v>394</v>
      </c>
      <c r="AS18" s="81" t="s">
        <v>433</v>
      </c>
      <c r="AT18" s="80" t="s">
        <v>431</v>
      </c>
      <c r="AU18" s="80" t="s">
        <v>334</v>
      </c>
      <c r="AV18" s="82">
        <v>49</v>
      </c>
      <c r="AW18" s="80" t="s">
        <v>436</v>
      </c>
    </row>
    <row r="19" spans="1:49" x14ac:dyDescent="0.25">
      <c r="A19" s="75" t="s">
        <v>380</v>
      </c>
      <c r="B19" s="76">
        <v>18</v>
      </c>
      <c r="C19" s="76">
        <v>800</v>
      </c>
      <c r="D19" s="76">
        <v>0</v>
      </c>
      <c r="E19" s="85">
        <v>45972</v>
      </c>
      <c r="F19" s="76">
        <v>284</v>
      </c>
      <c r="G19" s="75" t="s">
        <v>448</v>
      </c>
      <c r="H19" s="75" t="s">
        <v>542</v>
      </c>
      <c r="I19" s="75" t="s">
        <v>543</v>
      </c>
      <c r="J19" s="75" t="s">
        <v>517</v>
      </c>
      <c r="K19" s="68">
        <v>0.5</v>
      </c>
      <c r="L19" s="86"/>
      <c r="M19" s="68">
        <v>0.5</v>
      </c>
      <c r="N19" s="85">
        <v>45996</v>
      </c>
      <c r="O19" s="85">
        <v>46001</v>
      </c>
      <c r="P19" s="75" t="s">
        <v>414</v>
      </c>
      <c r="Q19" s="76">
        <v>8</v>
      </c>
      <c r="R19" s="76">
        <v>10</v>
      </c>
      <c r="S19" s="75" t="s">
        <v>509</v>
      </c>
      <c r="T19" s="75" t="s">
        <v>381</v>
      </c>
      <c r="U19" s="75" t="s">
        <v>415</v>
      </c>
      <c r="V19" s="75" t="s">
        <v>416</v>
      </c>
      <c r="W19" s="75" t="s">
        <v>449</v>
      </c>
      <c r="X19" s="75" t="s">
        <v>450</v>
      </c>
      <c r="Y19" s="76">
        <v>5</v>
      </c>
      <c r="Z19" s="75" t="s">
        <v>425</v>
      </c>
      <c r="AA19" s="76">
        <v>208</v>
      </c>
      <c r="AB19" s="75" t="s">
        <v>426</v>
      </c>
      <c r="AC19" s="76">
        <v>120</v>
      </c>
      <c r="AD19" s="76">
        <v>5</v>
      </c>
      <c r="AE19" s="75" t="s">
        <v>383</v>
      </c>
      <c r="AF19" s="76">
        <v>1</v>
      </c>
      <c r="AG19" s="75" t="s">
        <v>418</v>
      </c>
      <c r="AH19" s="76">
        <v>70</v>
      </c>
      <c r="AJ19" s="77" t="s">
        <v>685</v>
      </c>
      <c r="AK19" s="87"/>
      <c r="AL19" s="78" t="s">
        <v>366</v>
      </c>
      <c r="AM19" s="79">
        <v>1</v>
      </c>
      <c r="AN19" s="78"/>
      <c r="AO19" s="78"/>
      <c r="AP19" s="79"/>
      <c r="AQ19" s="80" t="s">
        <v>698</v>
      </c>
      <c r="AR19" s="80" t="s">
        <v>394</v>
      </c>
      <c r="AS19" s="81" t="s">
        <v>433</v>
      </c>
      <c r="AT19" s="80" t="s">
        <v>410</v>
      </c>
      <c r="AU19" s="80" t="s">
        <v>334</v>
      </c>
      <c r="AV19" s="82">
        <v>49</v>
      </c>
      <c r="AW19" s="80" t="s">
        <v>436</v>
      </c>
    </row>
    <row r="20" spans="1:49" x14ac:dyDescent="0.25">
      <c r="A20" s="75" t="s">
        <v>380</v>
      </c>
      <c r="B20" s="76">
        <v>19</v>
      </c>
      <c r="C20" s="76">
        <v>813</v>
      </c>
      <c r="D20" s="76">
        <v>0</v>
      </c>
      <c r="E20" s="85">
        <v>45975</v>
      </c>
      <c r="F20" s="76">
        <v>284</v>
      </c>
      <c r="G20" s="75" t="s">
        <v>448</v>
      </c>
      <c r="H20" s="75" t="s">
        <v>469</v>
      </c>
      <c r="I20" s="75" t="s">
        <v>470</v>
      </c>
      <c r="J20" s="75" t="s">
        <v>471</v>
      </c>
      <c r="K20" s="68">
        <v>640</v>
      </c>
      <c r="L20" s="86"/>
      <c r="M20" s="68">
        <v>640</v>
      </c>
      <c r="N20" s="85"/>
      <c r="O20" s="85">
        <v>46009</v>
      </c>
      <c r="P20" s="75" t="s">
        <v>31</v>
      </c>
      <c r="Q20" s="76">
        <v>8</v>
      </c>
      <c r="R20" s="76">
        <v>10</v>
      </c>
      <c r="S20" s="75" t="s">
        <v>37</v>
      </c>
      <c r="T20" s="75" t="s">
        <v>381</v>
      </c>
      <c r="U20" s="75" t="s">
        <v>415</v>
      </c>
      <c r="V20" s="75" t="s">
        <v>416</v>
      </c>
      <c r="W20" s="75" t="s">
        <v>449</v>
      </c>
      <c r="X20" s="75" t="s">
        <v>450</v>
      </c>
      <c r="Y20" s="76">
        <v>4</v>
      </c>
      <c r="Z20" s="75" t="s">
        <v>425</v>
      </c>
      <c r="AA20" s="76">
        <v>199</v>
      </c>
      <c r="AB20" s="75" t="s">
        <v>472</v>
      </c>
      <c r="AC20" s="76">
        <v>120</v>
      </c>
      <c r="AD20" s="76">
        <v>4</v>
      </c>
      <c r="AE20" s="75" t="s">
        <v>384</v>
      </c>
      <c r="AF20" s="76">
        <v>1</v>
      </c>
      <c r="AG20" s="75" t="s">
        <v>418</v>
      </c>
      <c r="AH20" s="76">
        <v>2</v>
      </c>
      <c r="AJ20" s="77" t="s">
        <v>723</v>
      </c>
      <c r="AK20" s="87"/>
      <c r="AL20" s="78" t="s">
        <v>366</v>
      </c>
      <c r="AM20" s="79">
        <v>1</v>
      </c>
      <c r="AN20" s="78"/>
      <c r="AO20" s="78"/>
      <c r="AP20" s="79"/>
      <c r="AQ20" s="80" t="s">
        <v>770</v>
      </c>
      <c r="AR20" s="80" t="s">
        <v>394</v>
      </c>
      <c r="AS20" s="81" t="s">
        <v>398</v>
      </c>
      <c r="AT20" s="80" t="s">
        <v>431</v>
      </c>
      <c r="AU20" s="80" t="s">
        <v>395</v>
      </c>
      <c r="AV20" s="82">
        <v>0</v>
      </c>
      <c r="AW20" s="80" t="s">
        <v>399</v>
      </c>
    </row>
    <row r="21" spans="1:49" x14ac:dyDescent="0.25">
      <c r="A21" s="75" t="s">
        <v>380</v>
      </c>
      <c r="B21" s="76">
        <v>20</v>
      </c>
      <c r="C21" s="76">
        <v>813</v>
      </c>
      <c r="D21" s="76">
        <v>0</v>
      </c>
      <c r="E21" s="85">
        <v>45975</v>
      </c>
      <c r="F21" s="76">
        <v>284</v>
      </c>
      <c r="G21" s="75" t="s">
        <v>448</v>
      </c>
      <c r="H21" s="75" t="s">
        <v>510</v>
      </c>
      <c r="I21" s="75" t="s">
        <v>508</v>
      </c>
      <c r="J21" s="75" t="s">
        <v>471</v>
      </c>
      <c r="K21" s="68">
        <v>0.5</v>
      </c>
      <c r="L21" s="86"/>
      <c r="M21" s="68">
        <v>0.5</v>
      </c>
      <c r="N21" s="85"/>
      <c r="O21" s="85">
        <v>46009</v>
      </c>
      <c r="P21" s="75" t="s">
        <v>31</v>
      </c>
      <c r="Q21" s="76">
        <v>8</v>
      </c>
      <c r="R21" s="76">
        <v>10</v>
      </c>
      <c r="S21" s="75" t="s">
        <v>509</v>
      </c>
      <c r="T21" s="75" t="s">
        <v>381</v>
      </c>
      <c r="U21" s="75" t="s">
        <v>415</v>
      </c>
      <c r="V21" s="75" t="s">
        <v>416</v>
      </c>
      <c r="W21" s="75" t="s">
        <v>449</v>
      </c>
      <c r="X21" s="75" t="s">
        <v>450</v>
      </c>
      <c r="Y21" s="76">
        <v>4</v>
      </c>
      <c r="Z21" s="75" t="s">
        <v>425</v>
      </c>
      <c r="AA21" s="76">
        <v>199</v>
      </c>
      <c r="AB21" s="75" t="s">
        <v>472</v>
      </c>
      <c r="AC21" s="76">
        <v>120</v>
      </c>
      <c r="AD21" s="76">
        <v>4</v>
      </c>
      <c r="AE21" s="75" t="s">
        <v>384</v>
      </c>
      <c r="AF21" s="76">
        <v>1</v>
      </c>
      <c r="AG21" s="75" t="s">
        <v>418</v>
      </c>
      <c r="AH21" s="76">
        <v>2</v>
      </c>
      <c r="AJ21" s="77" t="s">
        <v>723</v>
      </c>
      <c r="AK21" s="87"/>
      <c r="AL21" s="78" t="s">
        <v>366</v>
      </c>
      <c r="AM21" s="79">
        <v>1</v>
      </c>
      <c r="AN21" s="78"/>
      <c r="AO21" s="78"/>
      <c r="AP21" s="79"/>
      <c r="AQ21" s="80" t="s">
        <v>770</v>
      </c>
      <c r="AR21" s="80" t="s">
        <v>394</v>
      </c>
      <c r="AS21" s="81" t="s">
        <v>398</v>
      </c>
      <c r="AT21" s="80" t="s">
        <v>410</v>
      </c>
      <c r="AU21" s="80" t="s">
        <v>395</v>
      </c>
      <c r="AV21" s="82">
        <v>0</v>
      </c>
      <c r="AW21" s="80" t="s">
        <v>399</v>
      </c>
    </row>
    <row r="22" spans="1:49" x14ac:dyDescent="0.25">
      <c r="A22" s="75" t="s">
        <v>380</v>
      </c>
      <c r="B22" s="76">
        <v>21</v>
      </c>
      <c r="C22" s="76">
        <v>814</v>
      </c>
      <c r="D22" s="76">
        <v>0</v>
      </c>
      <c r="E22" s="85">
        <v>45975</v>
      </c>
      <c r="F22" s="76">
        <v>284</v>
      </c>
      <c r="G22" s="75" t="s">
        <v>448</v>
      </c>
      <c r="H22" s="75" t="s">
        <v>478</v>
      </c>
      <c r="I22" s="75" t="s">
        <v>479</v>
      </c>
      <c r="J22" s="75" t="s">
        <v>480</v>
      </c>
      <c r="K22" s="68">
        <v>640</v>
      </c>
      <c r="L22" s="86"/>
      <c r="M22" s="68">
        <v>640</v>
      </c>
      <c r="N22" s="85"/>
      <c r="O22" s="85">
        <v>46009</v>
      </c>
      <c r="P22" s="75" t="s">
        <v>31</v>
      </c>
      <c r="Q22" s="76">
        <v>8</v>
      </c>
      <c r="R22" s="76">
        <v>10</v>
      </c>
      <c r="S22" s="75" t="s">
        <v>37</v>
      </c>
      <c r="T22" s="75" t="s">
        <v>381</v>
      </c>
      <c r="U22" s="75" t="s">
        <v>415</v>
      </c>
      <c r="V22" s="75" t="s">
        <v>416</v>
      </c>
      <c r="W22" s="75" t="s">
        <v>449</v>
      </c>
      <c r="X22" s="75" t="s">
        <v>450</v>
      </c>
      <c r="Y22" s="76">
        <v>5</v>
      </c>
      <c r="Z22" s="75" t="s">
        <v>425</v>
      </c>
      <c r="AA22" s="76">
        <v>208</v>
      </c>
      <c r="AB22" s="75" t="s">
        <v>426</v>
      </c>
      <c r="AC22" s="76">
        <v>120</v>
      </c>
      <c r="AD22" s="76">
        <v>5</v>
      </c>
      <c r="AE22" s="75" t="s">
        <v>383</v>
      </c>
      <c r="AF22" s="76">
        <v>1</v>
      </c>
      <c r="AG22" s="75" t="s">
        <v>418</v>
      </c>
      <c r="AH22" s="76">
        <v>2</v>
      </c>
      <c r="AJ22" s="77" t="s">
        <v>724</v>
      </c>
      <c r="AK22" s="87"/>
      <c r="AL22" s="78" t="s">
        <v>366</v>
      </c>
      <c r="AM22" s="79">
        <v>1</v>
      </c>
      <c r="AN22" s="78"/>
      <c r="AO22" s="78"/>
      <c r="AP22" s="79"/>
      <c r="AQ22" s="80" t="s">
        <v>771</v>
      </c>
      <c r="AR22" s="80" t="s">
        <v>394</v>
      </c>
      <c r="AS22" s="81" t="s">
        <v>433</v>
      </c>
      <c r="AT22" s="80" t="s">
        <v>431</v>
      </c>
      <c r="AU22" s="80" t="s">
        <v>395</v>
      </c>
      <c r="AV22" s="82">
        <v>0</v>
      </c>
      <c r="AW22" s="80" t="s">
        <v>434</v>
      </c>
    </row>
    <row r="23" spans="1:49" x14ac:dyDescent="0.25">
      <c r="A23" s="75" t="s">
        <v>380</v>
      </c>
      <c r="B23" s="76">
        <v>22</v>
      </c>
      <c r="C23" s="76">
        <v>814</v>
      </c>
      <c r="D23" s="76">
        <v>0</v>
      </c>
      <c r="E23" s="85">
        <v>45975</v>
      </c>
      <c r="F23" s="76">
        <v>284</v>
      </c>
      <c r="G23" s="75" t="s">
        <v>448</v>
      </c>
      <c r="H23" s="75" t="s">
        <v>538</v>
      </c>
      <c r="I23" s="75" t="s">
        <v>539</v>
      </c>
      <c r="J23" s="75" t="s">
        <v>480</v>
      </c>
      <c r="K23" s="68">
        <v>0.5</v>
      </c>
      <c r="L23" s="86"/>
      <c r="M23" s="68">
        <v>0.5</v>
      </c>
      <c r="N23" s="85"/>
      <c r="O23" s="85">
        <v>46009</v>
      </c>
      <c r="P23" s="75" t="s">
        <v>31</v>
      </c>
      <c r="Q23" s="76">
        <v>8</v>
      </c>
      <c r="R23" s="76">
        <v>10</v>
      </c>
      <c r="S23" s="75" t="s">
        <v>509</v>
      </c>
      <c r="T23" s="75" t="s">
        <v>381</v>
      </c>
      <c r="U23" s="75" t="s">
        <v>415</v>
      </c>
      <c r="V23" s="75" t="s">
        <v>416</v>
      </c>
      <c r="W23" s="75" t="s">
        <v>449</v>
      </c>
      <c r="X23" s="75" t="s">
        <v>450</v>
      </c>
      <c r="Y23" s="76">
        <v>5</v>
      </c>
      <c r="Z23" s="75" t="s">
        <v>425</v>
      </c>
      <c r="AA23" s="76">
        <v>208</v>
      </c>
      <c r="AB23" s="75" t="s">
        <v>426</v>
      </c>
      <c r="AC23" s="76">
        <v>120</v>
      </c>
      <c r="AD23" s="76">
        <v>5</v>
      </c>
      <c r="AE23" s="75" t="s">
        <v>383</v>
      </c>
      <c r="AF23" s="76">
        <v>1</v>
      </c>
      <c r="AG23" s="75" t="s">
        <v>418</v>
      </c>
      <c r="AH23" s="76">
        <v>2</v>
      </c>
      <c r="AJ23" s="77" t="s">
        <v>724</v>
      </c>
      <c r="AK23" s="87"/>
      <c r="AL23" s="78" t="s">
        <v>366</v>
      </c>
      <c r="AM23" s="79">
        <v>1</v>
      </c>
      <c r="AN23" s="78"/>
      <c r="AO23" s="78"/>
      <c r="AP23" s="79"/>
      <c r="AQ23" s="80" t="s">
        <v>771</v>
      </c>
      <c r="AR23" s="80" t="s">
        <v>394</v>
      </c>
      <c r="AS23" s="81" t="s">
        <v>433</v>
      </c>
      <c r="AT23" s="80" t="s">
        <v>410</v>
      </c>
      <c r="AU23" s="80" t="s">
        <v>395</v>
      </c>
      <c r="AV23" s="82">
        <v>0</v>
      </c>
      <c r="AW23" s="80" t="s">
        <v>434</v>
      </c>
    </row>
    <row r="24" spans="1:49" x14ac:dyDescent="0.25">
      <c r="A24" s="75" t="s">
        <v>380</v>
      </c>
      <c r="B24" s="76">
        <v>23</v>
      </c>
      <c r="C24" s="76">
        <v>776</v>
      </c>
      <c r="D24" s="76">
        <v>0</v>
      </c>
      <c r="E24" s="85">
        <v>45958</v>
      </c>
      <c r="F24" s="76">
        <v>343</v>
      </c>
      <c r="G24" s="75" t="s">
        <v>519</v>
      </c>
      <c r="H24" s="75" t="s">
        <v>520</v>
      </c>
      <c r="I24" s="75" t="s">
        <v>521</v>
      </c>
      <c r="J24" s="75" t="s">
        <v>522</v>
      </c>
      <c r="K24" s="68">
        <v>1000</v>
      </c>
      <c r="L24" s="86"/>
      <c r="M24" s="68">
        <v>1000</v>
      </c>
      <c r="N24" s="85"/>
      <c r="O24" s="85">
        <v>46029</v>
      </c>
      <c r="P24" s="75" t="s">
        <v>30</v>
      </c>
      <c r="Q24" s="76">
        <v>8</v>
      </c>
      <c r="R24" s="76">
        <v>10</v>
      </c>
      <c r="S24" s="75" t="s">
        <v>243</v>
      </c>
      <c r="T24" s="75" t="s">
        <v>381</v>
      </c>
      <c r="U24" s="75" t="s">
        <v>415</v>
      </c>
      <c r="V24" s="75" t="s">
        <v>416</v>
      </c>
      <c r="W24" s="75" t="s">
        <v>519</v>
      </c>
      <c r="X24" s="75" t="s">
        <v>523</v>
      </c>
      <c r="Y24" s="76">
        <v>5</v>
      </c>
      <c r="Z24" s="75" t="s">
        <v>419</v>
      </c>
      <c r="AA24" s="76">
        <v>870</v>
      </c>
      <c r="AB24" s="75" t="s">
        <v>420</v>
      </c>
      <c r="AC24" s="76">
        <v>235</v>
      </c>
      <c r="AD24" s="76">
        <v>5</v>
      </c>
      <c r="AE24" s="75" t="s">
        <v>383</v>
      </c>
      <c r="AF24" s="76">
        <v>1</v>
      </c>
      <c r="AG24" s="75" t="s">
        <v>418</v>
      </c>
      <c r="AH24" s="76">
        <v>1</v>
      </c>
      <c r="AJ24" s="77" t="s">
        <v>524</v>
      </c>
      <c r="AK24" s="87"/>
      <c r="AL24" s="78" t="s">
        <v>366</v>
      </c>
      <c r="AM24" s="79">
        <v>1</v>
      </c>
      <c r="AN24" s="78" t="s">
        <v>347</v>
      </c>
      <c r="AO24" s="78" t="s">
        <v>334</v>
      </c>
      <c r="AP24" s="79">
        <v>5</v>
      </c>
      <c r="AQ24" s="80" t="s">
        <v>533</v>
      </c>
      <c r="AR24" s="80" t="s">
        <v>394</v>
      </c>
      <c r="AS24" s="81" t="s">
        <v>433</v>
      </c>
      <c r="AT24" s="80" t="s">
        <v>534</v>
      </c>
      <c r="AU24" s="80" t="s">
        <v>395</v>
      </c>
      <c r="AV24" s="82">
        <v>0</v>
      </c>
      <c r="AW24" s="80" t="s">
        <v>434</v>
      </c>
    </row>
    <row r="25" spans="1:49" x14ac:dyDescent="0.25">
      <c r="A25" s="75" t="s">
        <v>380</v>
      </c>
      <c r="B25" s="76">
        <v>25</v>
      </c>
      <c r="C25" s="76">
        <v>777</v>
      </c>
      <c r="D25" s="76">
        <v>0</v>
      </c>
      <c r="E25" s="85">
        <v>45958</v>
      </c>
      <c r="F25" s="76">
        <v>343</v>
      </c>
      <c r="G25" s="75" t="s">
        <v>519</v>
      </c>
      <c r="H25" s="75" t="s">
        <v>525</v>
      </c>
      <c r="I25" s="75" t="s">
        <v>526</v>
      </c>
      <c r="J25" s="75" t="s">
        <v>527</v>
      </c>
      <c r="K25" s="68">
        <v>1000</v>
      </c>
      <c r="L25" s="86"/>
      <c r="M25" s="68">
        <v>1000</v>
      </c>
      <c r="N25" s="85"/>
      <c r="O25" s="85">
        <v>46029</v>
      </c>
      <c r="P25" s="75" t="s">
        <v>30</v>
      </c>
      <c r="Q25" s="76">
        <v>8</v>
      </c>
      <c r="R25" s="76">
        <v>10</v>
      </c>
      <c r="S25" s="75" t="s">
        <v>243</v>
      </c>
      <c r="T25" s="75" t="s">
        <v>381</v>
      </c>
      <c r="U25" s="75" t="s">
        <v>415</v>
      </c>
      <c r="V25" s="75" t="s">
        <v>416</v>
      </c>
      <c r="W25" s="75" t="s">
        <v>519</v>
      </c>
      <c r="X25" s="75" t="s">
        <v>523</v>
      </c>
      <c r="Y25" s="76">
        <v>5</v>
      </c>
      <c r="Z25" s="75" t="s">
        <v>419</v>
      </c>
      <c r="AA25" s="76">
        <v>870</v>
      </c>
      <c r="AB25" s="75" t="s">
        <v>420</v>
      </c>
      <c r="AC25" s="76">
        <v>235</v>
      </c>
      <c r="AD25" s="76">
        <v>5</v>
      </c>
      <c r="AE25" s="75" t="s">
        <v>383</v>
      </c>
      <c r="AF25" s="76">
        <v>1</v>
      </c>
      <c r="AG25" s="75" t="s">
        <v>418</v>
      </c>
      <c r="AH25" s="76">
        <v>1</v>
      </c>
      <c r="AJ25" s="77" t="s">
        <v>524</v>
      </c>
      <c r="AK25" s="87"/>
      <c r="AL25" s="78" t="s">
        <v>366</v>
      </c>
      <c r="AM25" s="79">
        <v>1</v>
      </c>
      <c r="AN25" s="78" t="s">
        <v>347</v>
      </c>
      <c r="AO25" s="78" t="s">
        <v>334</v>
      </c>
      <c r="AP25" s="79">
        <v>5</v>
      </c>
      <c r="AQ25" s="80" t="s">
        <v>535</v>
      </c>
      <c r="AR25" s="80" t="s">
        <v>394</v>
      </c>
      <c r="AS25" s="81" t="s">
        <v>433</v>
      </c>
      <c r="AT25" s="80" t="s">
        <v>534</v>
      </c>
      <c r="AU25" s="80" t="s">
        <v>395</v>
      </c>
      <c r="AV25" s="82">
        <v>0</v>
      </c>
      <c r="AW25" s="80" t="s">
        <v>434</v>
      </c>
    </row>
    <row r="26" spans="1:49" x14ac:dyDescent="0.25">
      <c r="A26" s="75" t="s">
        <v>380</v>
      </c>
      <c r="B26" s="76">
        <v>27</v>
      </c>
      <c r="C26" s="76">
        <v>778</v>
      </c>
      <c r="D26" s="76">
        <v>0</v>
      </c>
      <c r="E26" s="85">
        <v>45958</v>
      </c>
      <c r="F26" s="76">
        <v>343</v>
      </c>
      <c r="G26" s="75" t="s">
        <v>519</v>
      </c>
      <c r="H26" s="75" t="s">
        <v>528</v>
      </c>
      <c r="I26" s="75" t="s">
        <v>529</v>
      </c>
      <c r="J26" s="75" t="s">
        <v>530</v>
      </c>
      <c r="K26" s="68">
        <v>640</v>
      </c>
      <c r="L26" s="86"/>
      <c r="M26" s="68">
        <v>640</v>
      </c>
      <c r="N26" s="85"/>
      <c r="O26" s="85">
        <v>46029</v>
      </c>
      <c r="P26" s="75" t="s">
        <v>30</v>
      </c>
      <c r="Q26" s="76">
        <v>8</v>
      </c>
      <c r="R26" s="76">
        <v>10</v>
      </c>
      <c r="S26" s="75" t="s">
        <v>39</v>
      </c>
      <c r="T26" s="75" t="s">
        <v>381</v>
      </c>
      <c r="U26" s="75" t="s">
        <v>415</v>
      </c>
      <c r="V26" s="75" t="s">
        <v>416</v>
      </c>
      <c r="W26" s="75" t="s">
        <v>519</v>
      </c>
      <c r="X26" s="75" t="s">
        <v>523</v>
      </c>
      <c r="Y26" s="76">
        <v>5</v>
      </c>
      <c r="Z26" s="75" t="s">
        <v>425</v>
      </c>
      <c r="AA26" s="76">
        <v>208</v>
      </c>
      <c r="AB26" s="75" t="s">
        <v>426</v>
      </c>
      <c r="AC26" s="76">
        <v>120</v>
      </c>
      <c r="AD26" s="76">
        <v>5</v>
      </c>
      <c r="AE26" s="75" t="s">
        <v>383</v>
      </c>
      <c r="AF26" s="76">
        <v>1</v>
      </c>
      <c r="AG26" s="75" t="s">
        <v>418</v>
      </c>
      <c r="AH26" s="76">
        <v>1</v>
      </c>
      <c r="AJ26" s="77" t="s">
        <v>524</v>
      </c>
      <c r="AK26" s="87"/>
      <c r="AL26" s="78" t="s">
        <v>366</v>
      </c>
      <c r="AM26" s="79">
        <v>1</v>
      </c>
      <c r="AN26" s="78" t="s">
        <v>347</v>
      </c>
      <c r="AO26" s="78" t="s">
        <v>334</v>
      </c>
      <c r="AP26" s="79">
        <v>5</v>
      </c>
      <c r="AQ26" s="80" t="s">
        <v>536</v>
      </c>
      <c r="AR26" s="80" t="s">
        <v>394</v>
      </c>
      <c r="AS26" s="81" t="s">
        <v>433</v>
      </c>
      <c r="AT26" s="80" t="s">
        <v>537</v>
      </c>
      <c r="AU26" s="80" t="s">
        <v>395</v>
      </c>
      <c r="AV26" s="82">
        <v>0</v>
      </c>
      <c r="AW26" s="80" t="s">
        <v>434</v>
      </c>
    </row>
    <row r="27" spans="1:49" x14ac:dyDescent="0.25">
      <c r="A27" s="75" t="s">
        <v>380</v>
      </c>
      <c r="B27" s="76">
        <v>29</v>
      </c>
      <c r="C27" s="76">
        <v>791</v>
      </c>
      <c r="D27" s="76">
        <v>0</v>
      </c>
      <c r="E27" s="85">
        <v>45967</v>
      </c>
      <c r="F27" s="76">
        <v>343</v>
      </c>
      <c r="G27" s="75" t="s">
        <v>519</v>
      </c>
      <c r="H27" s="75" t="s">
        <v>630</v>
      </c>
      <c r="I27" s="75" t="s">
        <v>631</v>
      </c>
      <c r="J27" s="75" t="s">
        <v>632</v>
      </c>
      <c r="K27" s="68">
        <v>500</v>
      </c>
      <c r="L27" s="86"/>
      <c r="M27" s="68">
        <v>500</v>
      </c>
      <c r="N27" s="85"/>
      <c r="O27" s="85">
        <v>46029</v>
      </c>
      <c r="P27" s="75" t="s">
        <v>30</v>
      </c>
      <c r="Q27" s="76">
        <v>8</v>
      </c>
      <c r="R27" s="76">
        <v>10</v>
      </c>
      <c r="S27" s="75" t="s">
        <v>243</v>
      </c>
      <c r="T27" s="75" t="s">
        <v>381</v>
      </c>
      <c r="U27" s="75" t="s">
        <v>415</v>
      </c>
      <c r="V27" s="75" t="s">
        <v>416</v>
      </c>
      <c r="W27" s="75" t="s">
        <v>519</v>
      </c>
      <c r="X27" s="75" t="s">
        <v>523</v>
      </c>
      <c r="Y27" s="76">
        <v>5</v>
      </c>
      <c r="Z27" s="75" t="s">
        <v>419</v>
      </c>
      <c r="AA27" s="76">
        <v>873</v>
      </c>
      <c r="AB27" s="75" t="s">
        <v>633</v>
      </c>
      <c r="AC27" s="76">
        <v>235</v>
      </c>
      <c r="AD27" s="76">
        <v>5</v>
      </c>
      <c r="AE27" s="75" t="s">
        <v>383</v>
      </c>
      <c r="AF27" s="76">
        <v>4</v>
      </c>
      <c r="AG27" s="75" t="s">
        <v>428</v>
      </c>
      <c r="AH27" s="76">
        <v>1</v>
      </c>
      <c r="AJ27" s="77" t="s">
        <v>524</v>
      </c>
      <c r="AK27" s="87"/>
      <c r="AL27" s="78" t="s">
        <v>366</v>
      </c>
      <c r="AM27" s="79">
        <v>1</v>
      </c>
      <c r="AN27" s="78" t="s">
        <v>347</v>
      </c>
      <c r="AO27" s="78" t="s">
        <v>334</v>
      </c>
      <c r="AP27" s="79">
        <v>5</v>
      </c>
      <c r="AQ27" s="80" t="s">
        <v>647</v>
      </c>
      <c r="AR27" s="80" t="s">
        <v>394</v>
      </c>
      <c r="AS27" s="81" t="s">
        <v>433</v>
      </c>
      <c r="AT27" s="80" t="s">
        <v>534</v>
      </c>
      <c r="AU27" s="80" t="s">
        <v>395</v>
      </c>
      <c r="AV27" s="82">
        <v>0</v>
      </c>
      <c r="AW27" s="80" t="s">
        <v>434</v>
      </c>
    </row>
    <row r="28" spans="1:49" x14ac:dyDescent="0.25">
      <c r="A28" s="75" t="s">
        <v>380</v>
      </c>
      <c r="B28" s="76">
        <v>31</v>
      </c>
      <c r="C28" s="76">
        <v>792</v>
      </c>
      <c r="D28" s="76">
        <v>0</v>
      </c>
      <c r="E28" s="85">
        <v>45967</v>
      </c>
      <c r="F28" s="76">
        <v>343</v>
      </c>
      <c r="G28" s="75" t="s">
        <v>519</v>
      </c>
      <c r="H28" s="75" t="s">
        <v>634</v>
      </c>
      <c r="I28" s="75" t="s">
        <v>635</v>
      </c>
      <c r="J28" s="75" t="s">
        <v>636</v>
      </c>
      <c r="K28" s="68">
        <v>1000</v>
      </c>
      <c r="L28" s="86"/>
      <c r="M28" s="68">
        <v>1000</v>
      </c>
      <c r="N28" s="85"/>
      <c r="O28" s="85">
        <v>46029</v>
      </c>
      <c r="P28" s="75" t="s">
        <v>30</v>
      </c>
      <c r="Q28" s="76"/>
      <c r="R28" s="76"/>
      <c r="S28" s="75" t="s">
        <v>243</v>
      </c>
      <c r="T28" s="75" t="s">
        <v>381</v>
      </c>
      <c r="U28" s="75" t="s">
        <v>415</v>
      </c>
      <c r="V28" s="75" t="s">
        <v>416</v>
      </c>
      <c r="W28" s="75" t="s">
        <v>519</v>
      </c>
      <c r="X28" s="75" t="s">
        <v>523</v>
      </c>
      <c r="Y28" s="76">
        <v>5</v>
      </c>
      <c r="Z28" s="75" t="s">
        <v>461</v>
      </c>
      <c r="AA28" s="76">
        <v>870</v>
      </c>
      <c r="AB28" s="75" t="s">
        <v>420</v>
      </c>
      <c r="AC28" s="76">
        <v>4</v>
      </c>
      <c r="AD28" s="76">
        <v>5</v>
      </c>
      <c r="AE28" s="75" t="s">
        <v>383</v>
      </c>
      <c r="AF28" s="76">
        <v>4</v>
      </c>
      <c r="AG28" s="75" t="s">
        <v>428</v>
      </c>
      <c r="AH28" s="76">
        <v>1</v>
      </c>
      <c r="AJ28" s="77" t="s">
        <v>524</v>
      </c>
      <c r="AK28" s="87"/>
      <c r="AL28" s="78" t="s">
        <v>366</v>
      </c>
      <c r="AM28" s="79">
        <v>1</v>
      </c>
      <c r="AN28" s="78" t="s">
        <v>347</v>
      </c>
      <c r="AO28" s="78" t="s">
        <v>334</v>
      </c>
      <c r="AP28" s="79">
        <v>5</v>
      </c>
      <c r="AQ28" s="80" t="s">
        <v>648</v>
      </c>
      <c r="AR28" s="80" t="s">
        <v>394</v>
      </c>
      <c r="AS28" s="81" t="s">
        <v>433</v>
      </c>
      <c r="AT28" s="80" t="s">
        <v>534</v>
      </c>
      <c r="AU28" s="80" t="s">
        <v>395</v>
      </c>
      <c r="AV28" s="82">
        <v>0</v>
      </c>
      <c r="AW28" s="80" t="s">
        <v>434</v>
      </c>
    </row>
    <row r="29" spans="1:49" x14ac:dyDescent="0.25">
      <c r="A29" s="75" t="s">
        <v>380</v>
      </c>
      <c r="B29" s="76">
        <v>37</v>
      </c>
      <c r="C29" s="76">
        <v>731</v>
      </c>
      <c r="D29" s="76">
        <v>0</v>
      </c>
      <c r="E29" s="85">
        <v>45925</v>
      </c>
      <c r="F29" s="76">
        <v>363</v>
      </c>
      <c r="G29" s="75" t="s">
        <v>341</v>
      </c>
      <c r="H29" s="75" t="s">
        <v>457</v>
      </c>
      <c r="I29" s="75" t="s">
        <v>458</v>
      </c>
      <c r="J29" s="75" t="s">
        <v>459</v>
      </c>
      <c r="K29" s="68">
        <v>10000</v>
      </c>
      <c r="L29" s="86"/>
      <c r="M29" s="68">
        <v>10000</v>
      </c>
      <c r="N29" s="85"/>
      <c r="O29" s="85">
        <v>46001</v>
      </c>
      <c r="P29" s="75" t="s">
        <v>30</v>
      </c>
      <c r="Q29" s="76">
        <v>8</v>
      </c>
      <c r="R29" s="76">
        <v>10</v>
      </c>
      <c r="S29" s="75" t="s">
        <v>362</v>
      </c>
      <c r="T29" s="75" t="s">
        <v>381</v>
      </c>
      <c r="U29" s="75" t="s">
        <v>415</v>
      </c>
      <c r="V29" s="75" t="s">
        <v>416</v>
      </c>
      <c r="W29" s="75" t="s">
        <v>424</v>
      </c>
      <c r="X29" s="75" t="s">
        <v>460</v>
      </c>
      <c r="Y29" s="76">
        <v>5</v>
      </c>
      <c r="Z29" s="75" t="s">
        <v>461</v>
      </c>
      <c r="AA29" s="76">
        <v>550</v>
      </c>
      <c r="AB29" s="75" t="s">
        <v>462</v>
      </c>
      <c r="AC29" s="76">
        <v>4</v>
      </c>
      <c r="AD29" s="76">
        <v>5</v>
      </c>
      <c r="AE29" s="75" t="s">
        <v>383</v>
      </c>
      <c r="AF29" s="76">
        <v>1</v>
      </c>
      <c r="AG29" s="75" t="s">
        <v>418</v>
      </c>
      <c r="AH29" s="76">
        <v>1</v>
      </c>
      <c r="AJ29" s="77" t="s">
        <v>463</v>
      </c>
      <c r="AK29" s="87"/>
      <c r="AL29" s="78" t="s">
        <v>366</v>
      </c>
      <c r="AM29" s="79">
        <v>1</v>
      </c>
      <c r="AN29" s="78" t="s">
        <v>347</v>
      </c>
      <c r="AO29" s="78" t="s">
        <v>334</v>
      </c>
      <c r="AP29" s="79">
        <v>5</v>
      </c>
      <c r="AQ29" s="80" t="s">
        <v>467</v>
      </c>
      <c r="AR29" s="80" t="s">
        <v>394</v>
      </c>
      <c r="AS29" s="81" t="s">
        <v>433</v>
      </c>
      <c r="AT29" s="80" t="s">
        <v>435</v>
      </c>
      <c r="AU29" s="80" t="s">
        <v>395</v>
      </c>
      <c r="AV29" s="82">
        <v>0</v>
      </c>
      <c r="AW29" s="80" t="s">
        <v>434</v>
      </c>
    </row>
    <row r="30" spans="1:49" x14ac:dyDescent="0.25">
      <c r="A30" s="75" t="s">
        <v>380</v>
      </c>
      <c r="B30" s="76">
        <v>38</v>
      </c>
      <c r="C30" s="76">
        <v>732</v>
      </c>
      <c r="D30" s="76">
        <v>0</v>
      </c>
      <c r="E30" s="85">
        <v>45925</v>
      </c>
      <c r="F30" s="76">
        <v>363</v>
      </c>
      <c r="G30" s="75" t="s">
        <v>341</v>
      </c>
      <c r="H30" s="75" t="s">
        <v>457</v>
      </c>
      <c r="I30" s="75" t="s">
        <v>458</v>
      </c>
      <c r="J30" s="75" t="s">
        <v>459</v>
      </c>
      <c r="K30" s="68">
        <v>20000</v>
      </c>
      <c r="L30" s="86"/>
      <c r="M30" s="68">
        <v>20000</v>
      </c>
      <c r="N30" s="85"/>
      <c r="O30" s="85">
        <v>46009</v>
      </c>
      <c r="P30" s="75" t="s">
        <v>30</v>
      </c>
      <c r="Q30" s="76">
        <v>8</v>
      </c>
      <c r="R30" s="76">
        <v>10</v>
      </c>
      <c r="S30" s="75" t="s">
        <v>362</v>
      </c>
      <c r="T30" s="75" t="s">
        <v>381</v>
      </c>
      <c r="U30" s="75" t="s">
        <v>415</v>
      </c>
      <c r="V30" s="75" t="s">
        <v>416</v>
      </c>
      <c r="W30" s="75" t="s">
        <v>424</v>
      </c>
      <c r="X30" s="75" t="s">
        <v>460</v>
      </c>
      <c r="Y30" s="76">
        <v>5</v>
      </c>
      <c r="Z30" s="75" t="s">
        <v>461</v>
      </c>
      <c r="AA30" s="76">
        <v>550</v>
      </c>
      <c r="AB30" s="75" t="s">
        <v>462</v>
      </c>
      <c r="AC30" s="76">
        <v>4</v>
      </c>
      <c r="AD30" s="76">
        <v>5</v>
      </c>
      <c r="AE30" s="75" t="s">
        <v>383</v>
      </c>
      <c r="AF30" s="76">
        <v>1</v>
      </c>
      <c r="AG30" s="75" t="s">
        <v>418</v>
      </c>
      <c r="AH30" s="76">
        <v>1</v>
      </c>
      <c r="AJ30" s="77" t="s">
        <v>463</v>
      </c>
      <c r="AK30" s="87"/>
      <c r="AL30" s="78" t="s">
        <v>366</v>
      </c>
      <c r="AM30" s="79">
        <v>1</v>
      </c>
      <c r="AN30" s="78" t="s">
        <v>347</v>
      </c>
      <c r="AO30" s="78" t="s">
        <v>334</v>
      </c>
      <c r="AP30" s="79">
        <v>5</v>
      </c>
      <c r="AQ30" s="80" t="s">
        <v>468</v>
      </c>
      <c r="AR30" s="80" t="s">
        <v>394</v>
      </c>
      <c r="AS30" s="81" t="s">
        <v>433</v>
      </c>
      <c r="AT30" s="80" t="s">
        <v>435</v>
      </c>
      <c r="AU30" s="80" t="s">
        <v>395</v>
      </c>
      <c r="AV30" s="82">
        <v>0</v>
      </c>
      <c r="AW30" s="80" t="s">
        <v>434</v>
      </c>
    </row>
    <row r="31" spans="1:49" x14ac:dyDescent="0.25">
      <c r="A31" s="75" t="s">
        <v>380</v>
      </c>
      <c r="B31" s="76">
        <v>39</v>
      </c>
      <c r="C31" s="76">
        <v>784</v>
      </c>
      <c r="D31" s="76">
        <v>0</v>
      </c>
      <c r="E31" s="85">
        <v>45965</v>
      </c>
      <c r="F31" s="76">
        <v>363</v>
      </c>
      <c r="G31" s="75" t="s">
        <v>341</v>
      </c>
      <c r="H31" s="75" t="s">
        <v>593</v>
      </c>
      <c r="I31" s="75" t="s">
        <v>594</v>
      </c>
      <c r="J31" s="75" t="s">
        <v>595</v>
      </c>
      <c r="K31" s="68">
        <v>3200</v>
      </c>
      <c r="L31" s="86"/>
      <c r="M31" s="68">
        <v>3200</v>
      </c>
      <c r="N31" s="85"/>
      <c r="O31" s="85">
        <v>46008</v>
      </c>
      <c r="P31" s="75" t="s">
        <v>30</v>
      </c>
      <c r="Q31" s="76"/>
      <c r="R31" s="76"/>
      <c r="S31" s="75" t="s">
        <v>39</v>
      </c>
      <c r="T31" s="75" t="s">
        <v>381</v>
      </c>
      <c r="U31" s="75" t="s">
        <v>415</v>
      </c>
      <c r="V31" s="75" t="s">
        <v>416</v>
      </c>
      <c r="W31" s="75" t="s">
        <v>424</v>
      </c>
      <c r="X31" s="75" t="s">
        <v>460</v>
      </c>
      <c r="Y31" s="76">
        <v>5</v>
      </c>
      <c r="Z31" s="75" t="s">
        <v>425</v>
      </c>
      <c r="AA31" s="76">
        <v>199</v>
      </c>
      <c r="AB31" s="75" t="s">
        <v>472</v>
      </c>
      <c r="AC31" s="76">
        <v>120</v>
      </c>
      <c r="AD31" s="76">
        <v>5</v>
      </c>
      <c r="AE31" s="75" t="s">
        <v>383</v>
      </c>
      <c r="AF31" s="76">
        <v>1</v>
      </c>
      <c r="AG31" s="75" t="s">
        <v>418</v>
      </c>
      <c r="AH31" s="76">
        <v>1</v>
      </c>
      <c r="AJ31" s="77" t="s">
        <v>596</v>
      </c>
      <c r="AK31" s="87"/>
      <c r="AL31" s="78" t="s">
        <v>366</v>
      </c>
      <c r="AM31" s="79">
        <v>1</v>
      </c>
      <c r="AN31" s="78" t="s">
        <v>347</v>
      </c>
      <c r="AO31" s="78" t="s">
        <v>334</v>
      </c>
      <c r="AP31" s="79">
        <v>5</v>
      </c>
      <c r="AQ31" s="80" t="s">
        <v>603</v>
      </c>
      <c r="AR31" s="80" t="s">
        <v>394</v>
      </c>
      <c r="AS31" s="81" t="s">
        <v>433</v>
      </c>
      <c r="AT31" s="80" t="s">
        <v>537</v>
      </c>
      <c r="AU31" s="80" t="s">
        <v>395</v>
      </c>
      <c r="AV31" s="82">
        <v>0</v>
      </c>
      <c r="AW31" s="80" t="s">
        <v>434</v>
      </c>
    </row>
    <row r="32" spans="1:49" x14ac:dyDescent="0.25">
      <c r="A32" s="75" t="s">
        <v>380</v>
      </c>
      <c r="B32" s="76">
        <v>41</v>
      </c>
      <c r="C32" s="76">
        <v>785</v>
      </c>
      <c r="D32" s="76">
        <v>0</v>
      </c>
      <c r="E32" s="85">
        <v>45965</v>
      </c>
      <c r="F32" s="76">
        <v>363</v>
      </c>
      <c r="G32" s="75" t="s">
        <v>341</v>
      </c>
      <c r="H32" s="75" t="s">
        <v>597</v>
      </c>
      <c r="I32" s="75" t="s">
        <v>598</v>
      </c>
      <c r="J32" s="75" t="s">
        <v>599</v>
      </c>
      <c r="K32" s="68">
        <v>1500</v>
      </c>
      <c r="L32" s="86"/>
      <c r="M32" s="68">
        <v>1500</v>
      </c>
      <c r="N32" s="85"/>
      <c r="O32" s="85">
        <v>46008</v>
      </c>
      <c r="P32" s="75" t="s">
        <v>30</v>
      </c>
      <c r="Q32" s="76">
        <v>8</v>
      </c>
      <c r="R32" s="76">
        <v>10</v>
      </c>
      <c r="S32" s="75" t="s">
        <v>42</v>
      </c>
      <c r="T32" s="75" t="s">
        <v>381</v>
      </c>
      <c r="U32" s="75" t="s">
        <v>415</v>
      </c>
      <c r="V32" s="75" t="s">
        <v>416</v>
      </c>
      <c r="W32" s="75" t="s">
        <v>424</v>
      </c>
      <c r="X32" s="75" t="s">
        <v>460</v>
      </c>
      <c r="Y32" s="76">
        <v>5</v>
      </c>
      <c r="Z32" s="75" t="s">
        <v>419</v>
      </c>
      <c r="AA32" s="76">
        <v>870</v>
      </c>
      <c r="AB32" s="75" t="s">
        <v>420</v>
      </c>
      <c r="AC32" s="76">
        <v>235</v>
      </c>
      <c r="AD32" s="76">
        <v>5</v>
      </c>
      <c r="AE32" s="75" t="s">
        <v>383</v>
      </c>
      <c r="AF32" s="76">
        <v>1</v>
      </c>
      <c r="AG32" s="75" t="s">
        <v>418</v>
      </c>
      <c r="AH32" s="76">
        <v>1</v>
      </c>
      <c r="AJ32" s="77" t="s">
        <v>596</v>
      </c>
      <c r="AK32" s="87"/>
      <c r="AL32" s="78" t="s">
        <v>366</v>
      </c>
      <c r="AM32" s="79">
        <v>1</v>
      </c>
      <c r="AN32" s="78" t="s">
        <v>347</v>
      </c>
      <c r="AO32" s="78" t="s">
        <v>334</v>
      </c>
      <c r="AP32" s="79">
        <v>5</v>
      </c>
      <c r="AQ32" s="80" t="s">
        <v>604</v>
      </c>
      <c r="AR32" s="80" t="s">
        <v>394</v>
      </c>
      <c r="AS32" s="81" t="s">
        <v>433</v>
      </c>
      <c r="AT32" s="80" t="s">
        <v>431</v>
      </c>
      <c r="AU32" s="80" t="s">
        <v>395</v>
      </c>
      <c r="AV32" s="82">
        <v>0</v>
      </c>
      <c r="AW32" s="80" t="s">
        <v>434</v>
      </c>
    </row>
    <row r="33" spans="1:49" x14ac:dyDescent="0.25">
      <c r="A33" s="75" t="s">
        <v>380</v>
      </c>
      <c r="B33" s="76">
        <v>43</v>
      </c>
      <c r="C33" s="76">
        <v>786</v>
      </c>
      <c r="D33" s="76">
        <v>0</v>
      </c>
      <c r="E33" s="85">
        <v>45965</v>
      </c>
      <c r="F33" s="76">
        <v>363</v>
      </c>
      <c r="G33" s="75" t="s">
        <v>341</v>
      </c>
      <c r="H33" s="75" t="s">
        <v>600</v>
      </c>
      <c r="I33" s="75" t="s">
        <v>601</v>
      </c>
      <c r="J33" s="75" t="s">
        <v>602</v>
      </c>
      <c r="K33" s="68">
        <v>2500</v>
      </c>
      <c r="L33" s="86"/>
      <c r="M33" s="68">
        <v>2500</v>
      </c>
      <c r="N33" s="85"/>
      <c r="O33" s="85">
        <v>46008</v>
      </c>
      <c r="P33" s="75" t="s">
        <v>30</v>
      </c>
      <c r="Q33" s="76">
        <v>8</v>
      </c>
      <c r="R33" s="76">
        <v>10</v>
      </c>
      <c r="S33" s="75" t="s">
        <v>42</v>
      </c>
      <c r="T33" s="75" t="s">
        <v>381</v>
      </c>
      <c r="U33" s="75" t="s">
        <v>415</v>
      </c>
      <c r="V33" s="75" t="s">
        <v>416</v>
      </c>
      <c r="W33" s="75" t="s">
        <v>424</v>
      </c>
      <c r="X33" s="75" t="s">
        <v>460</v>
      </c>
      <c r="Y33" s="76">
        <v>5</v>
      </c>
      <c r="Z33" s="75" t="s">
        <v>419</v>
      </c>
      <c r="AA33" s="76">
        <v>213</v>
      </c>
      <c r="AB33" s="75" t="s">
        <v>33</v>
      </c>
      <c r="AC33" s="76">
        <v>235</v>
      </c>
      <c r="AD33" s="76">
        <v>5</v>
      </c>
      <c r="AE33" s="75" t="s">
        <v>383</v>
      </c>
      <c r="AF33" s="76">
        <v>1</v>
      </c>
      <c r="AG33" s="75" t="s">
        <v>418</v>
      </c>
      <c r="AH33" s="76">
        <v>1</v>
      </c>
      <c r="AJ33" s="77" t="s">
        <v>596</v>
      </c>
      <c r="AK33" s="87"/>
      <c r="AL33" s="78" t="s">
        <v>366</v>
      </c>
      <c r="AM33" s="79">
        <v>1</v>
      </c>
      <c r="AN33" s="78" t="s">
        <v>347</v>
      </c>
      <c r="AO33" s="78" t="s">
        <v>334</v>
      </c>
      <c r="AP33" s="79">
        <v>5</v>
      </c>
      <c r="AQ33" s="80" t="s">
        <v>605</v>
      </c>
      <c r="AR33" s="80" t="s">
        <v>394</v>
      </c>
      <c r="AS33" s="81" t="s">
        <v>433</v>
      </c>
      <c r="AT33" s="80" t="s">
        <v>431</v>
      </c>
      <c r="AU33" s="80" t="s">
        <v>395</v>
      </c>
      <c r="AV33" s="82">
        <v>0</v>
      </c>
      <c r="AW33" s="80" t="s">
        <v>434</v>
      </c>
    </row>
    <row r="34" spans="1:49" x14ac:dyDescent="0.25">
      <c r="A34" s="75" t="s">
        <v>380</v>
      </c>
      <c r="B34" s="76">
        <v>45</v>
      </c>
      <c r="C34" s="76">
        <v>795</v>
      </c>
      <c r="D34" s="76">
        <v>0</v>
      </c>
      <c r="E34" s="85">
        <v>45968</v>
      </c>
      <c r="F34" s="76">
        <v>363</v>
      </c>
      <c r="G34" s="75" t="s">
        <v>341</v>
      </c>
      <c r="H34" s="75" t="s">
        <v>650</v>
      </c>
      <c r="I34" s="75" t="s">
        <v>651</v>
      </c>
      <c r="J34" s="75" t="s">
        <v>652</v>
      </c>
      <c r="K34" s="68">
        <v>1000</v>
      </c>
      <c r="L34" s="86"/>
      <c r="M34" s="68">
        <v>1000</v>
      </c>
      <c r="N34" s="85"/>
      <c r="O34" s="85">
        <v>46009</v>
      </c>
      <c r="P34" s="75" t="s">
        <v>30</v>
      </c>
      <c r="Q34" s="76">
        <v>8</v>
      </c>
      <c r="R34" s="76">
        <v>10</v>
      </c>
      <c r="S34" s="75" t="s">
        <v>42</v>
      </c>
      <c r="T34" s="75" t="s">
        <v>381</v>
      </c>
      <c r="U34" s="75" t="s">
        <v>415</v>
      </c>
      <c r="V34" s="75" t="s">
        <v>416</v>
      </c>
      <c r="W34" s="75" t="s">
        <v>424</v>
      </c>
      <c r="X34" s="75" t="s">
        <v>385</v>
      </c>
      <c r="Y34" s="76">
        <v>5</v>
      </c>
      <c r="Z34" s="75" t="s">
        <v>419</v>
      </c>
      <c r="AA34" s="76">
        <v>870</v>
      </c>
      <c r="AB34" s="75" t="s">
        <v>420</v>
      </c>
      <c r="AC34" s="76">
        <v>235</v>
      </c>
      <c r="AD34" s="76">
        <v>5</v>
      </c>
      <c r="AE34" s="75" t="s">
        <v>383</v>
      </c>
      <c r="AF34" s="76">
        <v>1</v>
      </c>
      <c r="AG34" s="75" t="s">
        <v>418</v>
      </c>
      <c r="AH34" s="76">
        <v>1</v>
      </c>
      <c r="AJ34" s="77" t="s">
        <v>653</v>
      </c>
      <c r="AK34" s="87"/>
      <c r="AL34" s="78" t="s">
        <v>366</v>
      </c>
      <c r="AM34" s="79">
        <v>1</v>
      </c>
      <c r="AN34" s="78" t="s">
        <v>347</v>
      </c>
      <c r="AO34" s="78" t="s">
        <v>334</v>
      </c>
      <c r="AP34" s="79">
        <v>5</v>
      </c>
      <c r="AQ34" s="80" t="s">
        <v>664</v>
      </c>
      <c r="AR34" s="80" t="s">
        <v>394</v>
      </c>
      <c r="AS34" s="81" t="s">
        <v>433</v>
      </c>
      <c r="AT34" s="80" t="s">
        <v>431</v>
      </c>
      <c r="AU34" s="80" t="s">
        <v>395</v>
      </c>
      <c r="AV34" s="82">
        <v>0</v>
      </c>
      <c r="AW34" s="80" t="s">
        <v>434</v>
      </c>
    </row>
    <row r="35" spans="1:49" x14ac:dyDescent="0.25">
      <c r="A35" s="75" t="s">
        <v>380</v>
      </c>
      <c r="B35" s="76">
        <v>47</v>
      </c>
      <c r="C35" s="76">
        <v>817</v>
      </c>
      <c r="D35" s="76">
        <v>0</v>
      </c>
      <c r="E35" s="85">
        <v>45979</v>
      </c>
      <c r="F35" s="76">
        <v>363</v>
      </c>
      <c r="G35" s="75" t="s">
        <v>341</v>
      </c>
      <c r="H35" s="75" t="s">
        <v>640</v>
      </c>
      <c r="I35" s="75" t="s">
        <v>784</v>
      </c>
      <c r="J35" s="75" t="s">
        <v>785</v>
      </c>
      <c r="K35" s="68">
        <v>3200</v>
      </c>
      <c r="L35" s="86"/>
      <c r="M35" s="68">
        <v>3200</v>
      </c>
      <c r="N35" s="85"/>
      <c r="O35" s="85">
        <v>46036</v>
      </c>
      <c r="P35" s="75" t="s">
        <v>30</v>
      </c>
      <c r="Q35" s="76"/>
      <c r="R35" s="76"/>
      <c r="S35" s="75" t="s">
        <v>39</v>
      </c>
      <c r="T35" s="75" t="s">
        <v>381</v>
      </c>
      <c r="U35" s="75" t="s">
        <v>415</v>
      </c>
      <c r="V35" s="75" t="s">
        <v>416</v>
      </c>
      <c r="W35" s="75" t="s">
        <v>786</v>
      </c>
      <c r="X35" s="75" t="s">
        <v>787</v>
      </c>
      <c r="Y35" s="76">
        <v>5</v>
      </c>
      <c r="Z35" s="75" t="s">
        <v>425</v>
      </c>
      <c r="AA35" s="76">
        <v>208</v>
      </c>
      <c r="AB35" s="75" t="s">
        <v>426</v>
      </c>
      <c r="AC35" s="76">
        <v>120</v>
      </c>
      <c r="AD35" s="76">
        <v>5</v>
      </c>
      <c r="AE35" s="75" t="s">
        <v>383</v>
      </c>
      <c r="AF35" s="76">
        <v>1</v>
      </c>
      <c r="AG35" s="75" t="s">
        <v>418</v>
      </c>
      <c r="AH35" s="76">
        <v>1</v>
      </c>
      <c r="AJ35" s="77" t="s">
        <v>788</v>
      </c>
      <c r="AK35" s="87"/>
      <c r="AL35" s="78" t="s">
        <v>366</v>
      </c>
      <c r="AM35" s="79">
        <v>1</v>
      </c>
      <c r="AN35" s="78" t="s">
        <v>347</v>
      </c>
      <c r="AO35" s="78" t="s">
        <v>334</v>
      </c>
      <c r="AP35" s="79">
        <v>5</v>
      </c>
      <c r="AQ35" s="80" t="s">
        <v>845</v>
      </c>
      <c r="AR35" s="80" t="s">
        <v>394</v>
      </c>
      <c r="AS35" s="81" t="s">
        <v>433</v>
      </c>
      <c r="AT35" s="80" t="s">
        <v>537</v>
      </c>
      <c r="AU35" s="80" t="s">
        <v>395</v>
      </c>
      <c r="AV35" s="82">
        <v>0</v>
      </c>
      <c r="AW35" s="80" t="s">
        <v>434</v>
      </c>
    </row>
    <row r="36" spans="1:49" x14ac:dyDescent="0.25">
      <c r="A36" s="75" t="s">
        <v>380</v>
      </c>
      <c r="B36" s="76">
        <v>49</v>
      </c>
      <c r="C36" s="76">
        <v>818</v>
      </c>
      <c r="D36" s="76">
        <v>0</v>
      </c>
      <c r="E36" s="85">
        <v>45979</v>
      </c>
      <c r="F36" s="76">
        <v>363</v>
      </c>
      <c r="G36" s="75" t="s">
        <v>341</v>
      </c>
      <c r="H36" s="75" t="s">
        <v>789</v>
      </c>
      <c r="I36" s="75" t="s">
        <v>790</v>
      </c>
      <c r="J36" s="75" t="s">
        <v>791</v>
      </c>
      <c r="K36" s="68">
        <v>1920</v>
      </c>
      <c r="L36" s="86"/>
      <c r="M36" s="68">
        <v>1920</v>
      </c>
      <c r="N36" s="85"/>
      <c r="O36" s="85"/>
      <c r="P36" s="75" t="s">
        <v>30</v>
      </c>
      <c r="Q36" s="76">
        <v>8</v>
      </c>
      <c r="R36" s="76">
        <v>10</v>
      </c>
      <c r="S36" s="75" t="s">
        <v>39</v>
      </c>
      <c r="T36" s="75" t="s">
        <v>381</v>
      </c>
      <c r="U36" s="75" t="s">
        <v>415</v>
      </c>
      <c r="V36" s="75" t="s">
        <v>416</v>
      </c>
      <c r="W36" s="75" t="s">
        <v>786</v>
      </c>
      <c r="X36" s="75" t="s">
        <v>787</v>
      </c>
      <c r="Y36" s="76">
        <v>5</v>
      </c>
      <c r="Z36" s="75" t="s">
        <v>425</v>
      </c>
      <c r="AA36" s="76">
        <v>208</v>
      </c>
      <c r="AB36" s="75" t="s">
        <v>426</v>
      </c>
      <c r="AC36" s="76">
        <v>120</v>
      </c>
      <c r="AD36" s="76">
        <v>5</v>
      </c>
      <c r="AE36" s="75" t="s">
        <v>383</v>
      </c>
      <c r="AF36" s="76">
        <v>1</v>
      </c>
      <c r="AG36" s="75" t="s">
        <v>418</v>
      </c>
      <c r="AH36" s="76">
        <v>1</v>
      </c>
      <c r="AJ36" s="77" t="s">
        <v>788</v>
      </c>
      <c r="AK36" s="87"/>
      <c r="AL36" s="78" t="s">
        <v>366</v>
      </c>
      <c r="AM36" s="79">
        <v>1</v>
      </c>
      <c r="AN36" s="78" t="s">
        <v>347</v>
      </c>
      <c r="AO36" s="78" t="s">
        <v>334</v>
      </c>
      <c r="AP36" s="79">
        <v>5</v>
      </c>
      <c r="AQ36" s="80" t="s">
        <v>846</v>
      </c>
      <c r="AR36" s="80" t="s">
        <v>394</v>
      </c>
      <c r="AS36" s="81" t="s">
        <v>433</v>
      </c>
      <c r="AT36" s="80" t="s">
        <v>537</v>
      </c>
      <c r="AU36" s="80" t="s">
        <v>395</v>
      </c>
      <c r="AV36" s="82">
        <v>0</v>
      </c>
      <c r="AW36" s="80" t="s">
        <v>434</v>
      </c>
    </row>
    <row r="37" spans="1:49" x14ac:dyDescent="0.25">
      <c r="A37" s="75" t="s">
        <v>380</v>
      </c>
      <c r="B37" s="76">
        <v>51</v>
      </c>
      <c r="C37" s="76">
        <v>819</v>
      </c>
      <c r="D37" s="76">
        <v>0</v>
      </c>
      <c r="E37" s="85">
        <v>45979</v>
      </c>
      <c r="F37" s="76">
        <v>363</v>
      </c>
      <c r="G37" s="75" t="s">
        <v>341</v>
      </c>
      <c r="H37" s="75" t="s">
        <v>792</v>
      </c>
      <c r="I37" s="75" t="s">
        <v>793</v>
      </c>
      <c r="J37" s="75" t="s">
        <v>794</v>
      </c>
      <c r="K37" s="68">
        <v>2304</v>
      </c>
      <c r="L37" s="86"/>
      <c r="M37" s="68">
        <v>2304</v>
      </c>
      <c r="N37" s="85"/>
      <c r="O37" s="85">
        <v>46036</v>
      </c>
      <c r="P37" s="75" t="s">
        <v>30</v>
      </c>
      <c r="Q37" s="76">
        <v>8</v>
      </c>
      <c r="R37" s="76">
        <v>10</v>
      </c>
      <c r="S37" s="75" t="s">
        <v>41</v>
      </c>
      <c r="T37" s="75" t="s">
        <v>381</v>
      </c>
      <c r="U37" s="75" t="s">
        <v>415</v>
      </c>
      <c r="V37" s="75" t="s">
        <v>416</v>
      </c>
      <c r="W37" s="75" t="s">
        <v>786</v>
      </c>
      <c r="X37" s="75" t="s">
        <v>787</v>
      </c>
      <c r="Y37" s="76">
        <v>5</v>
      </c>
      <c r="Z37" s="75" t="s">
        <v>669</v>
      </c>
      <c r="AA37" s="76">
        <v>202</v>
      </c>
      <c r="AB37" s="75" t="s">
        <v>795</v>
      </c>
      <c r="AC37" s="76">
        <v>125</v>
      </c>
      <c r="AD37" s="76">
        <v>5</v>
      </c>
      <c r="AE37" s="75" t="s">
        <v>383</v>
      </c>
      <c r="AF37" s="76">
        <v>1</v>
      </c>
      <c r="AG37" s="75" t="s">
        <v>418</v>
      </c>
      <c r="AH37" s="76">
        <v>1</v>
      </c>
      <c r="AJ37" s="77" t="s">
        <v>788</v>
      </c>
      <c r="AK37" s="87"/>
      <c r="AL37" s="78" t="s">
        <v>366</v>
      </c>
      <c r="AM37" s="79">
        <v>1</v>
      </c>
      <c r="AN37" s="78" t="s">
        <v>347</v>
      </c>
      <c r="AO37" s="78" t="s">
        <v>334</v>
      </c>
      <c r="AP37" s="79">
        <v>5</v>
      </c>
      <c r="AQ37" s="80" t="s">
        <v>847</v>
      </c>
      <c r="AR37" s="80" t="s">
        <v>394</v>
      </c>
      <c r="AS37" s="81" t="s">
        <v>433</v>
      </c>
      <c r="AT37" s="80" t="s">
        <v>848</v>
      </c>
      <c r="AU37" s="80" t="s">
        <v>395</v>
      </c>
      <c r="AV37" s="82">
        <v>0</v>
      </c>
      <c r="AW37" s="80" t="s">
        <v>434</v>
      </c>
    </row>
    <row r="38" spans="1:49" x14ac:dyDescent="0.25">
      <c r="A38" s="75" t="s">
        <v>380</v>
      </c>
      <c r="B38" s="76">
        <v>53</v>
      </c>
      <c r="C38" s="76">
        <v>820</v>
      </c>
      <c r="D38" s="76">
        <v>0</v>
      </c>
      <c r="E38" s="85">
        <v>45979</v>
      </c>
      <c r="F38" s="76">
        <v>363</v>
      </c>
      <c r="G38" s="75" t="s">
        <v>341</v>
      </c>
      <c r="H38" s="75" t="s">
        <v>796</v>
      </c>
      <c r="I38" s="75" t="s">
        <v>797</v>
      </c>
      <c r="J38" s="75" t="s">
        <v>798</v>
      </c>
      <c r="K38" s="68">
        <v>2560</v>
      </c>
      <c r="L38" s="86"/>
      <c r="M38" s="68">
        <v>2560</v>
      </c>
      <c r="N38" s="85"/>
      <c r="O38" s="85">
        <v>46036</v>
      </c>
      <c r="P38" s="75" t="s">
        <v>30</v>
      </c>
      <c r="Q38" s="76">
        <v>8</v>
      </c>
      <c r="R38" s="76">
        <v>10</v>
      </c>
      <c r="S38" s="75" t="s">
        <v>39</v>
      </c>
      <c r="T38" s="75" t="s">
        <v>381</v>
      </c>
      <c r="U38" s="75" t="s">
        <v>415</v>
      </c>
      <c r="V38" s="75" t="s">
        <v>416</v>
      </c>
      <c r="W38" s="75" t="s">
        <v>786</v>
      </c>
      <c r="X38" s="75" t="s">
        <v>787</v>
      </c>
      <c r="Y38" s="76">
        <v>5</v>
      </c>
      <c r="Z38" s="75" t="s">
        <v>669</v>
      </c>
      <c r="AA38" s="76">
        <v>216</v>
      </c>
      <c r="AB38" s="75" t="s">
        <v>721</v>
      </c>
      <c r="AC38" s="76">
        <v>125</v>
      </c>
      <c r="AD38" s="76">
        <v>5</v>
      </c>
      <c r="AE38" s="75" t="s">
        <v>383</v>
      </c>
      <c r="AF38" s="76">
        <v>1</v>
      </c>
      <c r="AG38" s="75" t="s">
        <v>418</v>
      </c>
      <c r="AH38" s="76">
        <v>1</v>
      </c>
      <c r="AJ38" s="77" t="s">
        <v>788</v>
      </c>
      <c r="AK38" s="87"/>
      <c r="AL38" s="78" t="s">
        <v>366</v>
      </c>
      <c r="AM38" s="79">
        <v>1</v>
      </c>
      <c r="AN38" s="78" t="s">
        <v>347</v>
      </c>
      <c r="AO38" s="78" t="s">
        <v>334</v>
      </c>
      <c r="AP38" s="79">
        <v>5</v>
      </c>
      <c r="AQ38" s="80" t="s">
        <v>849</v>
      </c>
      <c r="AR38" s="80" t="s">
        <v>394</v>
      </c>
      <c r="AS38" s="81" t="s">
        <v>433</v>
      </c>
      <c r="AT38" s="80" t="s">
        <v>537</v>
      </c>
      <c r="AU38" s="80" t="s">
        <v>395</v>
      </c>
      <c r="AV38" s="82">
        <v>0</v>
      </c>
      <c r="AW38" s="80" t="s">
        <v>434</v>
      </c>
    </row>
    <row r="39" spans="1:49" x14ac:dyDescent="0.25">
      <c r="A39" s="75" t="s">
        <v>380</v>
      </c>
      <c r="B39" s="76">
        <v>55</v>
      </c>
      <c r="C39" s="76">
        <v>821</v>
      </c>
      <c r="D39" s="76">
        <v>0</v>
      </c>
      <c r="E39" s="85">
        <v>45979</v>
      </c>
      <c r="F39" s="76">
        <v>363</v>
      </c>
      <c r="G39" s="75" t="s">
        <v>341</v>
      </c>
      <c r="H39" s="75" t="s">
        <v>789</v>
      </c>
      <c r="I39" s="75" t="s">
        <v>790</v>
      </c>
      <c r="J39" s="75" t="s">
        <v>791</v>
      </c>
      <c r="K39" s="68">
        <v>3200</v>
      </c>
      <c r="L39" s="86"/>
      <c r="M39" s="68">
        <v>3200</v>
      </c>
      <c r="N39" s="85"/>
      <c r="O39" s="85">
        <v>46037</v>
      </c>
      <c r="P39" s="75" t="s">
        <v>30</v>
      </c>
      <c r="Q39" s="76">
        <v>8</v>
      </c>
      <c r="R39" s="76">
        <v>10</v>
      </c>
      <c r="S39" s="75" t="s">
        <v>39</v>
      </c>
      <c r="T39" s="75" t="s">
        <v>381</v>
      </c>
      <c r="U39" s="75" t="s">
        <v>415</v>
      </c>
      <c r="V39" s="75" t="s">
        <v>416</v>
      </c>
      <c r="W39" s="75" t="s">
        <v>424</v>
      </c>
      <c r="X39" s="75" t="s">
        <v>385</v>
      </c>
      <c r="Y39" s="76">
        <v>5</v>
      </c>
      <c r="Z39" s="75" t="s">
        <v>425</v>
      </c>
      <c r="AA39" s="76">
        <v>208</v>
      </c>
      <c r="AB39" s="75" t="s">
        <v>426</v>
      </c>
      <c r="AC39" s="76">
        <v>120</v>
      </c>
      <c r="AD39" s="76">
        <v>5</v>
      </c>
      <c r="AE39" s="75" t="s">
        <v>383</v>
      </c>
      <c r="AF39" s="76">
        <v>1</v>
      </c>
      <c r="AG39" s="75" t="s">
        <v>418</v>
      </c>
      <c r="AH39" s="76">
        <v>1</v>
      </c>
      <c r="AJ39" s="77" t="s">
        <v>799</v>
      </c>
      <c r="AK39" s="87"/>
      <c r="AL39" s="78" t="s">
        <v>366</v>
      </c>
      <c r="AM39" s="79">
        <v>1</v>
      </c>
      <c r="AN39" s="78" t="s">
        <v>347</v>
      </c>
      <c r="AO39" s="78" t="s">
        <v>334</v>
      </c>
      <c r="AP39" s="79">
        <v>5</v>
      </c>
      <c r="AQ39" s="80" t="s">
        <v>850</v>
      </c>
      <c r="AR39" s="80" t="s">
        <v>394</v>
      </c>
      <c r="AS39" s="81" t="s">
        <v>433</v>
      </c>
      <c r="AT39" s="80" t="s">
        <v>537</v>
      </c>
      <c r="AU39" s="80" t="s">
        <v>395</v>
      </c>
      <c r="AV39" s="82">
        <v>0</v>
      </c>
      <c r="AW39" s="80" t="s">
        <v>434</v>
      </c>
    </row>
    <row r="40" spans="1:49" x14ac:dyDescent="0.25">
      <c r="A40" s="75" t="s">
        <v>380</v>
      </c>
      <c r="B40" s="76">
        <v>57</v>
      </c>
      <c r="C40" s="76">
        <v>822</v>
      </c>
      <c r="D40" s="76">
        <v>0</v>
      </c>
      <c r="E40" s="85">
        <v>45979</v>
      </c>
      <c r="F40" s="76">
        <v>363</v>
      </c>
      <c r="G40" s="75" t="s">
        <v>341</v>
      </c>
      <c r="H40" s="75" t="s">
        <v>597</v>
      </c>
      <c r="I40" s="75" t="s">
        <v>598</v>
      </c>
      <c r="J40" s="75" t="s">
        <v>599</v>
      </c>
      <c r="K40" s="68">
        <v>1000</v>
      </c>
      <c r="L40" s="86"/>
      <c r="M40" s="68">
        <v>1000</v>
      </c>
      <c r="N40" s="85"/>
      <c r="O40" s="85">
        <v>46037</v>
      </c>
      <c r="P40" s="75" t="s">
        <v>30</v>
      </c>
      <c r="Q40" s="76">
        <v>8</v>
      </c>
      <c r="R40" s="76">
        <v>10</v>
      </c>
      <c r="S40" s="75" t="s">
        <v>42</v>
      </c>
      <c r="T40" s="75" t="s">
        <v>381</v>
      </c>
      <c r="U40" s="75" t="s">
        <v>415</v>
      </c>
      <c r="V40" s="75" t="s">
        <v>416</v>
      </c>
      <c r="W40" s="75" t="s">
        <v>424</v>
      </c>
      <c r="X40" s="75" t="s">
        <v>385</v>
      </c>
      <c r="Y40" s="76">
        <v>5</v>
      </c>
      <c r="Z40" s="75" t="s">
        <v>419</v>
      </c>
      <c r="AA40" s="76">
        <v>870</v>
      </c>
      <c r="AB40" s="75" t="s">
        <v>420</v>
      </c>
      <c r="AC40" s="76">
        <v>235</v>
      </c>
      <c r="AD40" s="76">
        <v>5</v>
      </c>
      <c r="AE40" s="75" t="s">
        <v>383</v>
      </c>
      <c r="AF40" s="76">
        <v>1</v>
      </c>
      <c r="AG40" s="75" t="s">
        <v>418</v>
      </c>
      <c r="AH40" s="76">
        <v>1</v>
      </c>
      <c r="AJ40" s="77" t="s">
        <v>799</v>
      </c>
      <c r="AK40" s="87"/>
      <c r="AL40" s="78" t="s">
        <v>366</v>
      </c>
      <c r="AM40" s="79">
        <v>1</v>
      </c>
      <c r="AN40" s="78" t="s">
        <v>347</v>
      </c>
      <c r="AO40" s="78" t="s">
        <v>334</v>
      </c>
      <c r="AP40" s="79">
        <v>5</v>
      </c>
      <c r="AQ40" s="80" t="s">
        <v>851</v>
      </c>
      <c r="AR40" s="80" t="s">
        <v>394</v>
      </c>
      <c r="AS40" s="81" t="s">
        <v>433</v>
      </c>
      <c r="AT40" s="80" t="s">
        <v>431</v>
      </c>
      <c r="AU40" s="80" t="s">
        <v>395</v>
      </c>
      <c r="AV40" s="82">
        <v>0</v>
      </c>
      <c r="AW40" s="80" t="s">
        <v>434</v>
      </c>
    </row>
    <row r="41" spans="1:49" x14ac:dyDescent="0.25">
      <c r="A41" s="75" t="s">
        <v>380</v>
      </c>
      <c r="B41" s="76">
        <v>59</v>
      </c>
      <c r="C41" s="76">
        <v>825</v>
      </c>
      <c r="D41" s="76">
        <v>0</v>
      </c>
      <c r="E41" s="85">
        <v>45979</v>
      </c>
      <c r="F41" s="76">
        <v>363</v>
      </c>
      <c r="G41" s="75" t="s">
        <v>341</v>
      </c>
      <c r="H41" s="75" t="s">
        <v>640</v>
      </c>
      <c r="I41" s="75" t="s">
        <v>784</v>
      </c>
      <c r="J41" s="75" t="s">
        <v>785</v>
      </c>
      <c r="K41" s="68">
        <v>2560</v>
      </c>
      <c r="L41" s="86"/>
      <c r="M41" s="68">
        <v>2560</v>
      </c>
      <c r="N41" s="85"/>
      <c r="O41" s="85">
        <v>46057</v>
      </c>
      <c r="P41" s="75" t="s">
        <v>30</v>
      </c>
      <c r="Q41" s="76"/>
      <c r="R41" s="76"/>
      <c r="S41" s="75" t="s">
        <v>39</v>
      </c>
      <c r="T41" s="75" t="s">
        <v>381</v>
      </c>
      <c r="U41" s="75" t="s">
        <v>415</v>
      </c>
      <c r="V41" s="75" t="s">
        <v>416</v>
      </c>
      <c r="W41" s="75" t="s">
        <v>786</v>
      </c>
      <c r="X41" s="75" t="s">
        <v>787</v>
      </c>
      <c r="Y41" s="76">
        <v>5</v>
      </c>
      <c r="Z41" s="75" t="s">
        <v>425</v>
      </c>
      <c r="AA41" s="76">
        <v>208</v>
      </c>
      <c r="AB41" s="75" t="s">
        <v>426</v>
      </c>
      <c r="AC41" s="76">
        <v>120</v>
      </c>
      <c r="AD41" s="76">
        <v>5</v>
      </c>
      <c r="AE41" s="75" t="s">
        <v>383</v>
      </c>
      <c r="AF41" s="76">
        <v>1</v>
      </c>
      <c r="AG41" s="75" t="s">
        <v>418</v>
      </c>
      <c r="AH41" s="76">
        <v>1</v>
      </c>
      <c r="AJ41" s="77" t="s">
        <v>788</v>
      </c>
      <c r="AK41" s="87"/>
      <c r="AL41" s="78" t="s">
        <v>366</v>
      </c>
      <c r="AM41" s="79">
        <v>1</v>
      </c>
      <c r="AN41" s="78" t="s">
        <v>347</v>
      </c>
      <c r="AO41" s="78" t="s">
        <v>334</v>
      </c>
      <c r="AP41" s="79">
        <v>5</v>
      </c>
      <c r="AQ41" s="80" t="s">
        <v>852</v>
      </c>
      <c r="AR41" s="80" t="s">
        <v>394</v>
      </c>
      <c r="AS41" s="81" t="s">
        <v>433</v>
      </c>
      <c r="AT41" s="80" t="s">
        <v>537</v>
      </c>
      <c r="AU41" s="80" t="s">
        <v>395</v>
      </c>
      <c r="AV41" s="82">
        <v>0</v>
      </c>
      <c r="AW41" s="80" t="s">
        <v>434</v>
      </c>
    </row>
    <row r="42" spans="1:49" x14ac:dyDescent="0.25">
      <c r="A42" s="75" t="s">
        <v>380</v>
      </c>
      <c r="B42" s="76">
        <v>61</v>
      </c>
      <c r="C42" s="76">
        <v>828</v>
      </c>
      <c r="D42" s="76">
        <v>0</v>
      </c>
      <c r="E42" s="85">
        <v>45979</v>
      </c>
      <c r="F42" s="76">
        <v>363</v>
      </c>
      <c r="G42" s="75" t="s">
        <v>341</v>
      </c>
      <c r="H42" s="75" t="s">
        <v>640</v>
      </c>
      <c r="I42" s="75" t="s">
        <v>784</v>
      </c>
      <c r="J42" s="75" t="s">
        <v>785</v>
      </c>
      <c r="K42" s="68">
        <v>2560</v>
      </c>
      <c r="L42" s="86"/>
      <c r="M42" s="68">
        <v>2560</v>
      </c>
      <c r="N42" s="85"/>
      <c r="O42" s="85">
        <v>46078</v>
      </c>
      <c r="P42" s="75" t="s">
        <v>30</v>
      </c>
      <c r="Q42" s="76"/>
      <c r="R42" s="76"/>
      <c r="S42" s="75" t="s">
        <v>39</v>
      </c>
      <c r="T42" s="75" t="s">
        <v>381</v>
      </c>
      <c r="U42" s="75" t="s">
        <v>415</v>
      </c>
      <c r="V42" s="75" t="s">
        <v>416</v>
      </c>
      <c r="W42" s="75" t="s">
        <v>786</v>
      </c>
      <c r="X42" s="75" t="s">
        <v>787</v>
      </c>
      <c r="Y42" s="76">
        <v>5</v>
      </c>
      <c r="Z42" s="75" t="s">
        <v>425</v>
      </c>
      <c r="AA42" s="76">
        <v>208</v>
      </c>
      <c r="AB42" s="75" t="s">
        <v>426</v>
      </c>
      <c r="AC42" s="76">
        <v>120</v>
      </c>
      <c r="AD42" s="76">
        <v>5</v>
      </c>
      <c r="AE42" s="75" t="s">
        <v>383</v>
      </c>
      <c r="AF42" s="76">
        <v>1</v>
      </c>
      <c r="AG42" s="75" t="s">
        <v>418</v>
      </c>
      <c r="AH42" s="76">
        <v>1</v>
      </c>
      <c r="AJ42" s="77" t="s">
        <v>788</v>
      </c>
      <c r="AK42" s="87"/>
      <c r="AL42" s="78" t="s">
        <v>366</v>
      </c>
      <c r="AM42" s="79">
        <v>1</v>
      </c>
      <c r="AN42" s="78" t="s">
        <v>347</v>
      </c>
      <c r="AO42" s="78" t="s">
        <v>334</v>
      </c>
      <c r="AP42" s="79">
        <v>5</v>
      </c>
      <c r="AQ42" s="80" t="s">
        <v>853</v>
      </c>
      <c r="AR42" s="80" t="s">
        <v>394</v>
      </c>
      <c r="AS42" s="81" t="s">
        <v>433</v>
      </c>
      <c r="AT42" s="80" t="s">
        <v>537</v>
      </c>
      <c r="AU42" s="80" t="s">
        <v>395</v>
      </c>
      <c r="AV42" s="82">
        <v>0</v>
      </c>
      <c r="AW42" s="80" t="s">
        <v>434</v>
      </c>
    </row>
    <row r="43" spans="1:49" x14ac:dyDescent="0.25">
      <c r="A43" s="75" t="s">
        <v>380</v>
      </c>
      <c r="B43" s="76">
        <v>63</v>
      </c>
      <c r="C43" s="76">
        <v>829</v>
      </c>
      <c r="D43" s="76">
        <v>0</v>
      </c>
      <c r="E43" s="85">
        <v>45979</v>
      </c>
      <c r="F43" s="76">
        <v>363</v>
      </c>
      <c r="G43" s="75" t="s">
        <v>341</v>
      </c>
      <c r="H43" s="75" t="s">
        <v>640</v>
      </c>
      <c r="I43" s="75" t="s">
        <v>784</v>
      </c>
      <c r="J43" s="75" t="s">
        <v>785</v>
      </c>
      <c r="K43" s="68">
        <v>2560</v>
      </c>
      <c r="L43" s="86"/>
      <c r="M43" s="68">
        <v>2560</v>
      </c>
      <c r="N43" s="85"/>
      <c r="O43" s="85">
        <v>46092</v>
      </c>
      <c r="P43" s="75" t="s">
        <v>30</v>
      </c>
      <c r="Q43" s="76"/>
      <c r="R43" s="76"/>
      <c r="S43" s="75" t="s">
        <v>39</v>
      </c>
      <c r="T43" s="75" t="s">
        <v>381</v>
      </c>
      <c r="U43" s="75" t="s">
        <v>415</v>
      </c>
      <c r="V43" s="75" t="s">
        <v>416</v>
      </c>
      <c r="W43" s="75" t="s">
        <v>786</v>
      </c>
      <c r="X43" s="75" t="s">
        <v>787</v>
      </c>
      <c r="Y43" s="76">
        <v>5</v>
      </c>
      <c r="Z43" s="75" t="s">
        <v>425</v>
      </c>
      <c r="AA43" s="76">
        <v>208</v>
      </c>
      <c r="AB43" s="75" t="s">
        <v>426</v>
      </c>
      <c r="AC43" s="76">
        <v>120</v>
      </c>
      <c r="AD43" s="76">
        <v>5</v>
      </c>
      <c r="AE43" s="75" t="s">
        <v>383</v>
      </c>
      <c r="AF43" s="76">
        <v>1</v>
      </c>
      <c r="AG43" s="75" t="s">
        <v>418</v>
      </c>
      <c r="AH43" s="76">
        <v>1</v>
      </c>
      <c r="AJ43" s="77" t="s">
        <v>788</v>
      </c>
      <c r="AK43" s="87"/>
      <c r="AL43" s="78" t="s">
        <v>366</v>
      </c>
      <c r="AM43" s="79">
        <v>1</v>
      </c>
      <c r="AN43" s="78" t="s">
        <v>347</v>
      </c>
      <c r="AO43" s="78" t="s">
        <v>334</v>
      </c>
      <c r="AP43" s="79">
        <v>5</v>
      </c>
      <c r="AQ43" s="80" t="s">
        <v>854</v>
      </c>
      <c r="AR43" s="80" t="s">
        <v>394</v>
      </c>
      <c r="AS43" s="81" t="s">
        <v>433</v>
      </c>
      <c r="AT43" s="80" t="s">
        <v>537</v>
      </c>
      <c r="AU43" s="80" t="s">
        <v>395</v>
      </c>
      <c r="AV43" s="82">
        <v>0</v>
      </c>
      <c r="AW43" s="80" t="s">
        <v>434</v>
      </c>
    </row>
    <row r="44" spans="1:49" x14ac:dyDescent="0.25">
      <c r="A44" s="75" t="s">
        <v>380</v>
      </c>
      <c r="B44" s="76">
        <v>65</v>
      </c>
      <c r="C44" s="76">
        <v>551</v>
      </c>
      <c r="D44" s="76">
        <v>800</v>
      </c>
      <c r="E44" s="85">
        <v>45959</v>
      </c>
      <c r="F44" s="76">
        <v>373</v>
      </c>
      <c r="G44" s="75" t="s">
        <v>551</v>
      </c>
      <c r="H44" s="75" t="s">
        <v>552</v>
      </c>
      <c r="I44" s="75" t="s">
        <v>552</v>
      </c>
      <c r="J44" s="75" t="s">
        <v>553</v>
      </c>
      <c r="K44" s="68">
        <v>2.5</v>
      </c>
      <c r="L44" s="86"/>
      <c r="M44" s="68">
        <v>2.5</v>
      </c>
      <c r="N44" s="85"/>
      <c r="O44" s="85">
        <v>45991</v>
      </c>
      <c r="P44" s="75" t="s">
        <v>40</v>
      </c>
      <c r="Q44" s="76">
        <v>8</v>
      </c>
      <c r="R44" s="76">
        <v>10</v>
      </c>
      <c r="S44" s="75" t="s">
        <v>287</v>
      </c>
      <c r="T44" s="75" t="s">
        <v>381</v>
      </c>
      <c r="U44" s="75" t="s">
        <v>415</v>
      </c>
      <c r="V44" s="75" t="s">
        <v>416</v>
      </c>
      <c r="W44" s="75" t="s">
        <v>551</v>
      </c>
      <c r="X44" s="75" t="s">
        <v>554</v>
      </c>
      <c r="Y44" s="76">
        <v>5</v>
      </c>
      <c r="Z44" s="75" t="s">
        <v>419</v>
      </c>
      <c r="AA44" s="76">
        <v>870</v>
      </c>
      <c r="AB44" s="75" t="s">
        <v>420</v>
      </c>
      <c r="AC44" s="76">
        <v>235</v>
      </c>
      <c r="AD44" s="76">
        <v>5</v>
      </c>
      <c r="AE44" s="75" t="s">
        <v>383</v>
      </c>
      <c r="AF44" s="76">
        <v>1</v>
      </c>
      <c r="AG44" s="75" t="s">
        <v>418</v>
      </c>
      <c r="AH44" s="76">
        <v>5</v>
      </c>
      <c r="AJ44" s="77" t="s">
        <v>555</v>
      </c>
      <c r="AK44" s="87">
        <v>45979</v>
      </c>
      <c r="AL44" s="78" t="s">
        <v>367</v>
      </c>
      <c r="AM44" s="79">
        <v>1</v>
      </c>
      <c r="AN44" s="78"/>
      <c r="AO44" s="78"/>
      <c r="AP44" s="79"/>
      <c r="AQ44" s="80" t="s">
        <v>566</v>
      </c>
      <c r="AR44" s="80" t="s">
        <v>396</v>
      </c>
      <c r="AS44" s="81" t="s">
        <v>433</v>
      </c>
      <c r="AT44" s="80" t="s">
        <v>431</v>
      </c>
      <c r="AU44" s="80" t="s">
        <v>395</v>
      </c>
      <c r="AV44" s="82">
        <v>0</v>
      </c>
      <c r="AW44" s="80" t="s">
        <v>434</v>
      </c>
    </row>
    <row r="45" spans="1:49" x14ac:dyDescent="0.25">
      <c r="A45" s="75" t="s">
        <v>380</v>
      </c>
      <c r="B45" s="76">
        <v>66</v>
      </c>
      <c r="C45" s="76">
        <v>564</v>
      </c>
      <c r="D45" s="76">
        <v>800</v>
      </c>
      <c r="E45" s="85">
        <v>45972</v>
      </c>
      <c r="F45" s="76">
        <v>394</v>
      </c>
      <c r="G45" s="75" t="s">
        <v>686</v>
      </c>
      <c r="H45" s="75" t="s">
        <v>687</v>
      </c>
      <c r="I45" s="75" t="s">
        <v>688</v>
      </c>
      <c r="J45" s="75" t="s">
        <v>689</v>
      </c>
      <c r="K45" s="68">
        <v>500</v>
      </c>
      <c r="L45" s="86"/>
      <c r="M45" s="68">
        <v>500</v>
      </c>
      <c r="N45" s="85"/>
      <c r="O45" s="85">
        <v>46001</v>
      </c>
      <c r="P45" s="75" t="s">
        <v>30</v>
      </c>
      <c r="Q45" s="76"/>
      <c r="R45" s="76"/>
      <c r="S45" s="75" t="s">
        <v>175</v>
      </c>
      <c r="T45" s="75" t="s">
        <v>381</v>
      </c>
      <c r="U45" s="75" t="s">
        <v>415</v>
      </c>
      <c r="V45" s="75" t="s">
        <v>416</v>
      </c>
      <c r="W45" s="75" t="s">
        <v>686</v>
      </c>
      <c r="X45" s="75" t="s">
        <v>690</v>
      </c>
      <c r="Y45" s="76">
        <v>4</v>
      </c>
      <c r="Z45" s="75" t="s">
        <v>691</v>
      </c>
      <c r="AA45" s="76">
        <v>830</v>
      </c>
      <c r="AB45" s="75" t="s">
        <v>549</v>
      </c>
      <c r="AC45" s="76">
        <v>200</v>
      </c>
      <c r="AD45" s="76">
        <v>4</v>
      </c>
      <c r="AE45" s="75" t="s">
        <v>384</v>
      </c>
      <c r="AF45" s="76">
        <v>7</v>
      </c>
      <c r="AG45" s="75" t="s">
        <v>482</v>
      </c>
      <c r="AH45" s="76">
        <v>1</v>
      </c>
      <c r="AJ45" s="77" t="s">
        <v>692</v>
      </c>
      <c r="AK45" s="87">
        <v>45982</v>
      </c>
      <c r="AL45" s="78" t="s">
        <v>366</v>
      </c>
      <c r="AM45" s="79">
        <v>1</v>
      </c>
      <c r="AN45" s="78" t="s">
        <v>347</v>
      </c>
      <c r="AO45" s="78" t="s">
        <v>334</v>
      </c>
      <c r="AP45" s="79">
        <v>5</v>
      </c>
      <c r="AQ45" s="80" t="s">
        <v>699</v>
      </c>
      <c r="AR45" s="80" t="s">
        <v>396</v>
      </c>
      <c r="AS45" s="81" t="s">
        <v>398</v>
      </c>
      <c r="AT45" s="80" t="s">
        <v>537</v>
      </c>
      <c r="AU45" s="80" t="s">
        <v>395</v>
      </c>
      <c r="AV45" s="82">
        <v>0</v>
      </c>
      <c r="AW45" s="80" t="s">
        <v>399</v>
      </c>
    </row>
    <row r="46" spans="1:49" x14ac:dyDescent="0.25">
      <c r="A46" s="75" t="s">
        <v>380</v>
      </c>
      <c r="B46" s="76">
        <v>67</v>
      </c>
      <c r="C46" s="76">
        <v>568</v>
      </c>
      <c r="D46" s="76">
        <v>800</v>
      </c>
      <c r="E46" s="85">
        <v>45975</v>
      </c>
      <c r="F46" s="76">
        <v>394</v>
      </c>
      <c r="G46" s="75" t="s">
        <v>686</v>
      </c>
      <c r="H46" s="75" t="s">
        <v>558</v>
      </c>
      <c r="I46" s="75" t="s">
        <v>558</v>
      </c>
      <c r="J46" s="75" t="s">
        <v>709</v>
      </c>
      <c r="K46" s="68">
        <v>100</v>
      </c>
      <c r="L46" s="86"/>
      <c r="M46" s="68">
        <v>100</v>
      </c>
      <c r="N46" s="85"/>
      <c r="O46" s="85">
        <v>45989</v>
      </c>
      <c r="P46" s="75" t="s">
        <v>30</v>
      </c>
      <c r="Q46" s="76">
        <v>8</v>
      </c>
      <c r="R46" s="76">
        <v>10</v>
      </c>
      <c r="S46" s="75" t="s">
        <v>47</v>
      </c>
      <c r="T46" s="75" t="s">
        <v>381</v>
      </c>
      <c r="U46" s="75" t="s">
        <v>415</v>
      </c>
      <c r="V46" s="75" t="s">
        <v>416</v>
      </c>
      <c r="W46" s="75" t="s">
        <v>686</v>
      </c>
      <c r="X46" s="75" t="s">
        <v>690</v>
      </c>
      <c r="Y46" s="76">
        <v>5</v>
      </c>
      <c r="Z46" s="75" t="s">
        <v>419</v>
      </c>
      <c r="AA46" s="76">
        <v>870</v>
      </c>
      <c r="AB46" s="75" t="s">
        <v>420</v>
      </c>
      <c r="AC46" s="76">
        <v>235</v>
      </c>
      <c r="AD46" s="76">
        <v>5</v>
      </c>
      <c r="AE46" s="75" t="s">
        <v>383</v>
      </c>
      <c r="AF46" s="76">
        <v>1</v>
      </c>
      <c r="AG46" s="75" t="s">
        <v>418</v>
      </c>
      <c r="AH46" s="76">
        <v>1</v>
      </c>
      <c r="AJ46" s="77" t="s">
        <v>710</v>
      </c>
      <c r="AK46" s="87">
        <v>45989</v>
      </c>
      <c r="AL46" s="78" t="s">
        <v>366</v>
      </c>
      <c r="AM46" s="79">
        <v>1</v>
      </c>
      <c r="AN46" s="78" t="s">
        <v>347</v>
      </c>
      <c r="AO46" s="78" t="s">
        <v>334</v>
      </c>
      <c r="AP46" s="79">
        <v>5</v>
      </c>
      <c r="AQ46" s="80" t="s">
        <v>716</v>
      </c>
      <c r="AR46" s="80" t="s">
        <v>396</v>
      </c>
      <c r="AS46" s="81" t="s">
        <v>433</v>
      </c>
      <c r="AT46" s="80" t="s">
        <v>431</v>
      </c>
      <c r="AU46" s="80" t="s">
        <v>395</v>
      </c>
      <c r="AV46" s="82">
        <v>0</v>
      </c>
      <c r="AW46" s="80" t="s">
        <v>434</v>
      </c>
    </row>
    <row r="47" spans="1:49" x14ac:dyDescent="0.25">
      <c r="A47" s="75" t="s">
        <v>380</v>
      </c>
      <c r="B47" s="76">
        <v>68</v>
      </c>
      <c r="C47" s="76">
        <v>569</v>
      </c>
      <c r="D47" s="76">
        <v>800</v>
      </c>
      <c r="E47" s="85">
        <v>45975</v>
      </c>
      <c r="F47" s="76">
        <v>394</v>
      </c>
      <c r="G47" s="75" t="s">
        <v>686</v>
      </c>
      <c r="H47" s="75" t="s">
        <v>711</v>
      </c>
      <c r="I47" s="75" t="s">
        <v>712</v>
      </c>
      <c r="J47" s="75" t="s">
        <v>713</v>
      </c>
      <c r="K47" s="68">
        <v>50</v>
      </c>
      <c r="L47" s="86"/>
      <c r="M47" s="68">
        <v>50</v>
      </c>
      <c r="N47" s="85"/>
      <c r="O47" s="85">
        <v>45989</v>
      </c>
      <c r="P47" s="75" t="s">
        <v>30</v>
      </c>
      <c r="Q47" s="76">
        <v>8</v>
      </c>
      <c r="R47" s="76">
        <v>10</v>
      </c>
      <c r="S47" s="75" t="s">
        <v>312</v>
      </c>
      <c r="T47" s="75" t="s">
        <v>381</v>
      </c>
      <c r="U47" s="75" t="s">
        <v>415</v>
      </c>
      <c r="V47" s="75" t="s">
        <v>416</v>
      </c>
      <c r="W47" s="75" t="s">
        <v>686</v>
      </c>
      <c r="X47" s="75" t="s">
        <v>690</v>
      </c>
      <c r="Y47" s="76">
        <v>6</v>
      </c>
      <c r="Z47" s="75" t="s">
        <v>427</v>
      </c>
      <c r="AA47" s="76">
        <v>800</v>
      </c>
      <c r="AB47" s="75" t="s">
        <v>714</v>
      </c>
      <c r="AC47" s="76">
        <v>30</v>
      </c>
      <c r="AD47" s="76">
        <v>6</v>
      </c>
      <c r="AE47" s="75" t="s">
        <v>382</v>
      </c>
      <c r="AF47" s="76">
        <v>1</v>
      </c>
      <c r="AG47" s="75" t="s">
        <v>418</v>
      </c>
      <c r="AH47" s="76">
        <v>1</v>
      </c>
      <c r="AJ47" s="77" t="s">
        <v>715</v>
      </c>
      <c r="AK47" s="87">
        <v>45989</v>
      </c>
      <c r="AL47" s="78" t="s">
        <v>366</v>
      </c>
      <c r="AM47" s="79">
        <v>1</v>
      </c>
      <c r="AN47" s="78" t="s">
        <v>347</v>
      </c>
      <c r="AO47" s="78" t="s">
        <v>334</v>
      </c>
      <c r="AP47" s="79">
        <v>5</v>
      </c>
      <c r="AQ47" s="80" t="s">
        <v>717</v>
      </c>
      <c r="AR47" s="80" t="s">
        <v>396</v>
      </c>
      <c r="AS47" s="81" t="s">
        <v>398</v>
      </c>
      <c r="AT47" s="80" t="s">
        <v>431</v>
      </c>
      <c r="AU47" s="80" t="s">
        <v>395</v>
      </c>
      <c r="AV47" s="82">
        <v>0</v>
      </c>
      <c r="AW47" s="80" t="s">
        <v>399</v>
      </c>
    </row>
    <row r="48" spans="1:49" x14ac:dyDescent="0.25">
      <c r="A48" s="75" t="s">
        <v>380</v>
      </c>
      <c r="B48" s="76">
        <v>72</v>
      </c>
      <c r="C48" s="76">
        <v>790</v>
      </c>
      <c r="D48" s="76">
        <v>0</v>
      </c>
      <c r="E48" s="85">
        <v>45966</v>
      </c>
      <c r="F48" s="76">
        <v>419</v>
      </c>
      <c r="G48" s="75" t="s">
        <v>620</v>
      </c>
      <c r="H48" s="75" t="s">
        <v>621</v>
      </c>
      <c r="I48" s="75" t="s">
        <v>622</v>
      </c>
      <c r="J48" s="75" t="s">
        <v>623</v>
      </c>
      <c r="K48" s="68">
        <v>50</v>
      </c>
      <c r="L48" s="86"/>
      <c r="M48" s="68">
        <v>50</v>
      </c>
      <c r="N48" s="85"/>
      <c r="O48" s="85">
        <v>45987</v>
      </c>
      <c r="P48" s="75" t="s">
        <v>56</v>
      </c>
      <c r="Q48" s="76">
        <v>8</v>
      </c>
      <c r="R48" s="76">
        <v>10</v>
      </c>
      <c r="S48" s="75" t="s">
        <v>624</v>
      </c>
      <c r="T48" s="75" t="s">
        <v>381</v>
      </c>
      <c r="U48" s="75" t="s">
        <v>415</v>
      </c>
      <c r="V48" s="75" t="s">
        <v>416</v>
      </c>
      <c r="W48" s="75" t="s">
        <v>625</v>
      </c>
      <c r="X48" s="75" t="s">
        <v>626</v>
      </c>
      <c r="Y48" s="76">
        <v>6</v>
      </c>
      <c r="Z48" s="75" t="s">
        <v>447</v>
      </c>
      <c r="AA48" s="76">
        <v>635</v>
      </c>
      <c r="AB48" s="75" t="s">
        <v>562</v>
      </c>
      <c r="AC48" s="76">
        <v>215</v>
      </c>
      <c r="AD48" s="76">
        <v>6</v>
      </c>
      <c r="AE48" s="75" t="s">
        <v>382</v>
      </c>
      <c r="AF48" s="76">
        <v>1</v>
      </c>
      <c r="AG48" s="75" t="s">
        <v>418</v>
      </c>
      <c r="AH48" s="76">
        <v>35</v>
      </c>
      <c r="AJ48" s="77" t="s">
        <v>627</v>
      </c>
      <c r="AK48" s="87"/>
      <c r="AL48" s="78" t="s">
        <v>366</v>
      </c>
      <c r="AM48" s="79">
        <v>1</v>
      </c>
      <c r="AN48" s="78"/>
      <c r="AO48" s="78"/>
      <c r="AP48" s="79"/>
      <c r="AQ48" s="80" t="s">
        <v>628</v>
      </c>
      <c r="AR48" s="80" t="s">
        <v>394</v>
      </c>
      <c r="AS48" s="81" t="s">
        <v>398</v>
      </c>
      <c r="AT48" s="80" t="s">
        <v>410</v>
      </c>
      <c r="AU48" s="80" t="s">
        <v>395</v>
      </c>
      <c r="AV48" s="82">
        <v>0</v>
      </c>
      <c r="AW48" s="80" t="s">
        <v>399</v>
      </c>
    </row>
    <row r="49" spans="1:49" x14ac:dyDescent="0.25">
      <c r="A49" s="75" t="s">
        <v>380</v>
      </c>
      <c r="B49" s="76">
        <v>73</v>
      </c>
      <c r="C49" s="76">
        <v>787</v>
      </c>
      <c r="D49" s="76">
        <v>0</v>
      </c>
      <c r="E49" s="85">
        <v>45965</v>
      </c>
      <c r="F49" s="76">
        <v>426</v>
      </c>
      <c r="G49" s="75" t="s">
        <v>607</v>
      </c>
      <c r="H49" s="75" t="s">
        <v>608</v>
      </c>
      <c r="I49" s="75" t="s">
        <v>609</v>
      </c>
      <c r="J49" s="75" t="s">
        <v>610</v>
      </c>
      <c r="K49" s="68">
        <v>500</v>
      </c>
      <c r="L49" s="86"/>
      <c r="M49" s="68">
        <v>500</v>
      </c>
      <c r="N49" s="85"/>
      <c r="O49" s="85">
        <v>46000</v>
      </c>
      <c r="P49" s="75" t="s">
        <v>30</v>
      </c>
      <c r="Q49" s="76">
        <v>8</v>
      </c>
      <c r="R49" s="76">
        <v>10</v>
      </c>
      <c r="S49" s="75" t="s">
        <v>49</v>
      </c>
      <c r="T49" s="75" t="s">
        <v>381</v>
      </c>
      <c r="U49" s="75" t="s">
        <v>415</v>
      </c>
      <c r="V49" s="75" t="s">
        <v>416</v>
      </c>
      <c r="W49" s="75" t="s">
        <v>607</v>
      </c>
      <c r="X49" s="75" t="s">
        <v>611</v>
      </c>
      <c r="Y49" s="76">
        <v>5</v>
      </c>
      <c r="Z49" s="75" t="s">
        <v>419</v>
      </c>
      <c r="AA49" s="76">
        <v>230</v>
      </c>
      <c r="AB49" s="75" t="s">
        <v>422</v>
      </c>
      <c r="AC49" s="76">
        <v>235</v>
      </c>
      <c r="AD49" s="76">
        <v>5</v>
      </c>
      <c r="AE49" s="75" t="s">
        <v>383</v>
      </c>
      <c r="AF49" s="76">
        <v>1</v>
      </c>
      <c r="AG49" s="75" t="s">
        <v>418</v>
      </c>
      <c r="AH49" s="76">
        <v>1</v>
      </c>
      <c r="AJ49" s="77" t="s">
        <v>612</v>
      </c>
      <c r="AK49" s="87"/>
      <c r="AL49" s="78" t="s">
        <v>366</v>
      </c>
      <c r="AM49" s="79">
        <v>1</v>
      </c>
      <c r="AN49" s="78" t="s">
        <v>347</v>
      </c>
      <c r="AO49" s="78" t="s">
        <v>334</v>
      </c>
      <c r="AP49" s="79">
        <v>5</v>
      </c>
      <c r="AQ49" s="80" t="s">
        <v>617</v>
      </c>
      <c r="AR49" s="80" t="s">
        <v>394</v>
      </c>
      <c r="AS49" s="81" t="s">
        <v>433</v>
      </c>
      <c r="AT49" s="80" t="s">
        <v>618</v>
      </c>
      <c r="AU49" s="80" t="s">
        <v>395</v>
      </c>
      <c r="AV49" s="82">
        <v>0</v>
      </c>
      <c r="AW49" s="80" t="s">
        <v>434</v>
      </c>
    </row>
    <row r="50" spans="1:49" x14ac:dyDescent="0.25">
      <c r="A50" s="75" t="s">
        <v>380</v>
      </c>
      <c r="B50" s="76">
        <v>74</v>
      </c>
      <c r="C50" s="76">
        <v>787</v>
      </c>
      <c r="D50" s="76">
        <v>0</v>
      </c>
      <c r="E50" s="85">
        <v>45965</v>
      </c>
      <c r="F50" s="76">
        <v>426</v>
      </c>
      <c r="G50" s="75" t="s">
        <v>607</v>
      </c>
      <c r="H50" s="75" t="s">
        <v>613</v>
      </c>
      <c r="I50" s="75" t="s">
        <v>614</v>
      </c>
      <c r="J50" s="75" t="s">
        <v>610</v>
      </c>
      <c r="K50" s="68">
        <v>0.5</v>
      </c>
      <c r="L50" s="86"/>
      <c r="M50" s="68">
        <v>0.5</v>
      </c>
      <c r="N50" s="85"/>
      <c r="O50" s="85">
        <v>46000</v>
      </c>
      <c r="P50" s="75" t="s">
        <v>30</v>
      </c>
      <c r="Q50" s="76">
        <v>8</v>
      </c>
      <c r="R50" s="76">
        <v>10</v>
      </c>
      <c r="S50" s="75" t="s">
        <v>615</v>
      </c>
      <c r="T50" s="75" t="s">
        <v>381</v>
      </c>
      <c r="U50" s="75" t="s">
        <v>415</v>
      </c>
      <c r="V50" s="75" t="s">
        <v>416</v>
      </c>
      <c r="W50" s="75" t="s">
        <v>607</v>
      </c>
      <c r="X50" s="75" t="s">
        <v>611</v>
      </c>
      <c r="Y50" s="76">
        <v>5</v>
      </c>
      <c r="Z50" s="75" t="s">
        <v>419</v>
      </c>
      <c r="AA50" s="76">
        <v>230</v>
      </c>
      <c r="AB50" s="75" t="s">
        <v>422</v>
      </c>
      <c r="AC50" s="76">
        <v>235</v>
      </c>
      <c r="AD50" s="76">
        <v>5</v>
      </c>
      <c r="AE50" s="75" t="s">
        <v>383</v>
      </c>
      <c r="AF50" s="76">
        <v>1</v>
      </c>
      <c r="AG50" s="75" t="s">
        <v>418</v>
      </c>
      <c r="AH50" s="76">
        <v>1</v>
      </c>
      <c r="AJ50" s="77" t="s">
        <v>612</v>
      </c>
      <c r="AK50" s="87"/>
      <c r="AL50" s="78" t="s">
        <v>366</v>
      </c>
      <c r="AM50" s="79">
        <v>1</v>
      </c>
      <c r="AN50" s="78" t="s">
        <v>347</v>
      </c>
      <c r="AO50" s="78" t="s">
        <v>334</v>
      </c>
      <c r="AP50" s="79">
        <v>5</v>
      </c>
      <c r="AQ50" s="80" t="s">
        <v>617</v>
      </c>
      <c r="AR50" s="80" t="s">
        <v>394</v>
      </c>
      <c r="AS50" s="81" t="s">
        <v>433</v>
      </c>
      <c r="AT50" s="80" t="s">
        <v>410</v>
      </c>
      <c r="AU50" s="80" t="s">
        <v>395</v>
      </c>
      <c r="AV50" s="82">
        <v>0</v>
      </c>
      <c r="AW50" s="80" t="s">
        <v>434</v>
      </c>
    </row>
    <row r="51" spans="1:49" x14ac:dyDescent="0.25">
      <c r="A51" s="75" t="s">
        <v>380</v>
      </c>
      <c r="B51" s="76">
        <v>75</v>
      </c>
      <c r="C51" s="76">
        <v>806</v>
      </c>
      <c r="D51" s="76">
        <v>0</v>
      </c>
      <c r="E51" s="85">
        <v>45975</v>
      </c>
      <c r="F51" s="76">
        <v>466</v>
      </c>
      <c r="G51" s="75" t="s">
        <v>725</v>
      </c>
      <c r="H51" s="75" t="s">
        <v>726</v>
      </c>
      <c r="I51" s="75" t="s">
        <v>727</v>
      </c>
      <c r="J51" s="75" t="s">
        <v>728</v>
      </c>
      <c r="K51" s="68">
        <v>12400</v>
      </c>
      <c r="L51" s="86"/>
      <c r="M51" s="68">
        <v>12400</v>
      </c>
      <c r="N51" s="85"/>
      <c r="O51" s="85">
        <v>46009</v>
      </c>
      <c r="P51" s="75" t="s">
        <v>30</v>
      </c>
      <c r="Q51" s="76">
        <v>8</v>
      </c>
      <c r="R51" s="76">
        <v>10</v>
      </c>
      <c r="S51" s="75" t="s">
        <v>51</v>
      </c>
      <c r="T51" s="75" t="s">
        <v>381</v>
      </c>
      <c r="U51" s="75" t="s">
        <v>415</v>
      </c>
      <c r="V51" s="75" t="s">
        <v>416</v>
      </c>
      <c r="W51" s="75" t="s">
        <v>729</v>
      </c>
      <c r="X51" s="75" t="s">
        <v>730</v>
      </c>
      <c r="Y51" s="76">
        <v>5</v>
      </c>
      <c r="Z51" s="75" t="s">
        <v>419</v>
      </c>
      <c r="AA51" s="76">
        <v>213</v>
      </c>
      <c r="AB51" s="75" t="s">
        <v>33</v>
      </c>
      <c r="AC51" s="76">
        <v>235</v>
      </c>
      <c r="AD51" s="76">
        <v>5</v>
      </c>
      <c r="AE51" s="75" t="s">
        <v>383</v>
      </c>
      <c r="AF51" s="76">
        <v>1</v>
      </c>
      <c r="AG51" s="75" t="s">
        <v>418</v>
      </c>
      <c r="AH51" s="76">
        <v>1</v>
      </c>
      <c r="AJ51" s="77" t="s">
        <v>731</v>
      </c>
      <c r="AK51" s="87"/>
      <c r="AL51" s="78" t="s">
        <v>366</v>
      </c>
      <c r="AM51" s="79">
        <v>1</v>
      </c>
      <c r="AN51" s="78" t="s">
        <v>347</v>
      </c>
      <c r="AO51" s="78" t="s">
        <v>334</v>
      </c>
      <c r="AP51" s="79">
        <v>5</v>
      </c>
      <c r="AQ51" s="80" t="s">
        <v>772</v>
      </c>
      <c r="AR51" s="80" t="s">
        <v>394</v>
      </c>
      <c r="AS51" s="81" t="s">
        <v>433</v>
      </c>
      <c r="AT51" s="80" t="s">
        <v>431</v>
      </c>
      <c r="AU51" s="80" t="s">
        <v>395</v>
      </c>
      <c r="AV51" s="82">
        <v>0</v>
      </c>
      <c r="AW51" s="80" t="s">
        <v>434</v>
      </c>
    </row>
    <row r="52" spans="1:49" x14ac:dyDescent="0.25">
      <c r="A52" s="75" t="s">
        <v>380</v>
      </c>
      <c r="B52" s="76">
        <v>76</v>
      </c>
      <c r="C52" s="76">
        <v>806</v>
      </c>
      <c r="D52" s="76">
        <v>0</v>
      </c>
      <c r="E52" s="85">
        <v>45975</v>
      </c>
      <c r="F52" s="76">
        <v>466</v>
      </c>
      <c r="G52" s="75" t="s">
        <v>725</v>
      </c>
      <c r="H52" s="75" t="s">
        <v>732</v>
      </c>
      <c r="I52" s="75" t="s">
        <v>733</v>
      </c>
      <c r="J52" s="75" t="s">
        <v>734</v>
      </c>
      <c r="K52" s="68">
        <v>1</v>
      </c>
      <c r="L52" s="86"/>
      <c r="M52" s="68">
        <v>1</v>
      </c>
      <c r="N52" s="85"/>
      <c r="O52" s="85">
        <v>46009</v>
      </c>
      <c r="P52" s="75" t="s">
        <v>30</v>
      </c>
      <c r="Q52" s="76">
        <v>8</v>
      </c>
      <c r="R52" s="76">
        <v>10</v>
      </c>
      <c r="S52" s="75" t="s">
        <v>284</v>
      </c>
      <c r="T52" s="75" t="s">
        <v>381</v>
      </c>
      <c r="U52" s="75" t="s">
        <v>415</v>
      </c>
      <c r="V52" s="75" t="s">
        <v>416</v>
      </c>
      <c r="W52" s="75" t="s">
        <v>729</v>
      </c>
      <c r="X52" s="75" t="s">
        <v>730</v>
      </c>
      <c r="Y52" s="76">
        <v>5</v>
      </c>
      <c r="Z52" s="75" t="s">
        <v>419</v>
      </c>
      <c r="AA52" s="76">
        <v>213</v>
      </c>
      <c r="AB52" s="75" t="s">
        <v>33</v>
      </c>
      <c r="AC52" s="76">
        <v>235</v>
      </c>
      <c r="AD52" s="76">
        <v>5</v>
      </c>
      <c r="AE52" s="75" t="s">
        <v>383</v>
      </c>
      <c r="AF52" s="76">
        <v>1</v>
      </c>
      <c r="AG52" s="75" t="s">
        <v>418</v>
      </c>
      <c r="AH52" s="76">
        <v>1</v>
      </c>
      <c r="AJ52" s="77" t="s">
        <v>731</v>
      </c>
      <c r="AK52" s="87"/>
      <c r="AL52" s="78" t="s">
        <v>366</v>
      </c>
      <c r="AM52" s="79">
        <v>1</v>
      </c>
      <c r="AN52" s="78" t="s">
        <v>347</v>
      </c>
      <c r="AO52" s="78" t="s">
        <v>334</v>
      </c>
      <c r="AP52" s="79">
        <v>5</v>
      </c>
      <c r="AQ52" s="80" t="s">
        <v>772</v>
      </c>
      <c r="AR52" s="80" t="s">
        <v>394</v>
      </c>
      <c r="AS52" s="81" t="s">
        <v>433</v>
      </c>
      <c r="AT52" s="80" t="s">
        <v>773</v>
      </c>
      <c r="AU52" s="80" t="s">
        <v>395</v>
      </c>
      <c r="AV52" s="82">
        <v>0</v>
      </c>
      <c r="AW52" s="80" t="s">
        <v>434</v>
      </c>
    </row>
    <row r="53" spans="1:49" x14ac:dyDescent="0.25">
      <c r="A53" s="75" t="s">
        <v>380</v>
      </c>
      <c r="B53" s="76">
        <v>77</v>
      </c>
      <c r="C53" s="76">
        <v>566</v>
      </c>
      <c r="D53" s="76">
        <v>800</v>
      </c>
      <c r="E53" s="85">
        <v>45973</v>
      </c>
      <c r="F53" s="76">
        <v>475</v>
      </c>
      <c r="G53" s="75" t="s">
        <v>701</v>
      </c>
      <c r="H53" s="75" t="s">
        <v>702</v>
      </c>
      <c r="I53" s="75" t="s">
        <v>703</v>
      </c>
      <c r="J53" s="75" t="s">
        <v>704</v>
      </c>
      <c r="K53" s="68">
        <v>400</v>
      </c>
      <c r="L53" s="86"/>
      <c r="M53" s="68">
        <v>400</v>
      </c>
      <c r="N53" s="85"/>
      <c r="O53" s="85">
        <v>45989</v>
      </c>
      <c r="P53" s="75" t="s">
        <v>59</v>
      </c>
      <c r="Q53" s="76">
        <v>8</v>
      </c>
      <c r="R53" s="76">
        <v>10</v>
      </c>
      <c r="S53" s="75" t="s">
        <v>63</v>
      </c>
      <c r="T53" s="75" t="s">
        <v>381</v>
      </c>
      <c r="U53" s="75" t="s">
        <v>415</v>
      </c>
      <c r="V53" s="75" t="s">
        <v>416</v>
      </c>
      <c r="W53" s="75" t="s">
        <v>701</v>
      </c>
      <c r="X53" s="75" t="s">
        <v>705</v>
      </c>
      <c r="Y53" s="76">
        <v>5</v>
      </c>
      <c r="Z53" s="75" t="s">
        <v>419</v>
      </c>
      <c r="AA53" s="76">
        <v>309</v>
      </c>
      <c r="AB53" s="75" t="s">
        <v>706</v>
      </c>
      <c r="AC53" s="76">
        <v>235</v>
      </c>
      <c r="AD53" s="76">
        <v>5</v>
      </c>
      <c r="AE53" s="75" t="s">
        <v>383</v>
      </c>
      <c r="AF53" s="76">
        <v>1</v>
      </c>
      <c r="AG53" s="75" t="s">
        <v>418</v>
      </c>
      <c r="AH53" s="76">
        <v>45</v>
      </c>
      <c r="AJ53" s="77" t="s">
        <v>707</v>
      </c>
      <c r="AK53" s="87">
        <v>45982</v>
      </c>
      <c r="AL53" s="78" t="s">
        <v>367</v>
      </c>
      <c r="AM53" s="79">
        <v>1</v>
      </c>
      <c r="AN53" s="78"/>
      <c r="AO53" s="78"/>
      <c r="AP53" s="79"/>
      <c r="AQ53" s="80" t="s">
        <v>708</v>
      </c>
      <c r="AR53" s="80" t="s">
        <v>396</v>
      </c>
      <c r="AS53" s="81" t="s">
        <v>433</v>
      </c>
      <c r="AT53" s="80" t="s">
        <v>431</v>
      </c>
      <c r="AU53" s="80" t="s">
        <v>395</v>
      </c>
      <c r="AV53" s="82">
        <v>0</v>
      </c>
      <c r="AW53" s="80" t="s">
        <v>434</v>
      </c>
    </row>
    <row r="54" spans="1:49" x14ac:dyDescent="0.25">
      <c r="A54" s="75" t="s">
        <v>380</v>
      </c>
      <c r="B54" s="76">
        <v>78</v>
      </c>
      <c r="C54" s="76">
        <v>801</v>
      </c>
      <c r="D54" s="76">
        <v>0</v>
      </c>
      <c r="E54" s="85">
        <v>45972</v>
      </c>
      <c r="F54" s="76">
        <v>477</v>
      </c>
      <c r="G54" s="75" t="s">
        <v>489</v>
      </c>
      <c r="H54" s="75" t="s">
        <v>679</v>
      </c>
      <c r="I54" s="75" t="s">
        <v>693</v>
      </c>
      <c r="J54" s="75" t="s">
        <v>694</v>
      </c>
      <c r="K54" s="68">
        <v>700</v>
      </c>
      <c r="L54" s="86"/>
      <c r="M54" s="68">
        <v>700</v>
      </c>
      <c r="N54" s="85"/>
      <c r="O54" s="85">
        <v>45989</v>
      </c>
      <c r="P54" s="75"/>
      <c r="Q54" s="76">
        <v>8</v>
      </c>
      <c r="R54" s="76">
        <v>10</v>
      </c>
      <c r="S54" s="75" t="s">
        <v>47</v>
      </c>
      <c r="T54" s="75" t="s">
        <v>381</v>
      </c>
      <c r="U54" s="75" t="s">
        <v>415</v>
      </c>
      <c r="V54" s="75" t="s">
        <v>416</v>
      </c>
      <c r="W54" s="75" t="s">
        <v>489</v>
      </c>
      <c r="X54" s="75" t="s">
        <v>493</v>
      </c>
      <c r="Y54" s="76">
        <v>5</v>
      </c>
      <c r="Z54" s="75" t="s">
        <v>419</v>
      </c>
      <c r="AA54" s="76">
        <v>213</v>
      </c>
      <c r="AB54" s="75" t="s">
        <v>33</v>
      </c>
      <c r="AC54" s="76">
        <v>235</v>
      </c>
      <c r="AD54" s="76">
        <v>5</v>
      </c>
      <c r="AE54" s="75" t="s">
        <v>383</v>
      </c>
      <c r="AF54" s="76">
        <v>1</v>
      </c>
      <c r="AG54" s="75" t="s">
        <v>418</v>
      </c>
      <c r="AH54" s="76"/>
      <c r="AJ54" s="77" t="s">
        <v>695</v>
      </c>
      <c r="AK54" s="87"/>
      <c r="AL54" s="78" t="s">
        <v>366</v>
      </c>
      <c r="AM54" s="79">
        <v>1</v>
      </c>
      <c r="AN54" s="78"/>
      <c r="AO54" s="78"/>
      <c r="AP54" s="79"/>
      <c r="AQ54" s="80" t="s">
        <v>700</v>
      </c>
      <c r="AR54" s="80" t="s">
        <v>394</v>
      </c>
      <c r="AS54" s="81" t="s">
        <v>433</v>
      </c>
      <c r="AT54" s="80" t="s">
        <v>431</v>
      </c>
      <c r="AU54" s="80" t="s">
        <v>395</v>
      </c>
      <c r="AV54" s="82">
        <v>0</v>
      </c>
      <c r="AW54" s="80" t="s">
        <v>434</v>
      </c>
    </row>
    <row r="55" spans="1:49" x14ac:dyDescent="0.25">
      <c r="A55" s="75" t="s">
        <v>380</v>
      </c>
      <c r="B55" s="76">
        <v>79</v>
      </c>
      <c r="C55" s="76">
        <v>532</v>
      </c>
      <c r="D55" s="76">
        <v>800</v>
      </c>
      <c r="E55" s="85">
        <v>45945</v>
      </c>
      <c r="F55" s="76">
        <v>477</v>
      </c>
      <c r="G55" s="75" t="s">
        <v>489</v>
      </c>
      <c r="H55" s="75" t="s">
        <v>490</v>
      </c>
      <c r="I55" s="75" t="s">
        <v>491</v>
      </c>
      <c r="J55" s="75" t="s">
        <v>492</v>
      </c>
      <c r="K55" s="68">
        <v>800</v>
      </c>
      <c r="L55" s="86"/>
      <c r="M55" s="68">
        <v>800</v>
      </c>
      <c r="N55" s="85"/>
      <c r="O55" s="85">
        <v>45964</v>
      </c>
      <c r="P55" s="75" t="s">
        <v>30</v>
      </c>
      <c r="Q55" s="76">
        <v>8</v>
      </c>
      <c r="R55" s="76">
        <v>10</v>
      </c>
      <c r="S55" s="75" t="s">
        <v>52</v>
      </c>
      <c r="T55" s="75" t="s">
        <v>381</v>
      </c>
      <c r="U55" s="75" t="s">
        <v>415</v>
      </c>
      <c r="V55" s="75" t="s">
        <v>416</v>
      </c>
      <c r="W55" s="75" t="s">
        <v>489</v>
      </c>
      <c r="X55" s="75" t="s">
        <v>493</v>
      </c>
      <c r="Y55" s="76">
        <v>5</v>
      </c>
      <c r="Z55" s="75" t="s">
        <v>419</v>
      </c>
      <c r="AA55" s="76">
        <v>870</v>
      </c>
      <c r="AB55" s="75" t="s">
        <v>420</v>
      </c>
      <c r="AC55" s="76">
        <v>235</v>
      </c>
      <c r="AD55" s="76">
        <v>5</v>
      </c>
      <c r="AE55" s="75" t="s">
        <v>383</v>
      </c>
      <c r="AF55" s="76">
        <v>1</v>
      </c>
      <c r="AG55" s="75" t="s">
        <v>418</v>
      </c>
      <c r="AH55" s="76">
        <v>1</v>
      </c>
      <c r="AJ55" s="77" t="s">
        <v>494</v>
      </c>
      <c r="AK55" s="87">
        <v>45964</v>
      </c>
      <c r="AL55" s="78" t="s">
        <v>366</v>
      </c>
      <c r="AM55" s="79">
        <v>1</v>
      </c>
      <c r="AN55" s="78" t="s">
        <v>347</v>
      </c>
      <c r="AO55" s="78" t="s">
        <v>334</v>
      </c>
      <c r="AP55" s="79">
        <v>5</v>
      </c>
      <c r="AQ55" s="80" t="s">
        <v>495</v>
      </c>
      <c r="AR55" s="80" t="s">
        <v>396</v>
      </c>
      <c r="AS55" s="81" t="s">
        <v>433</v>
      </c>
      <c r="AT55" s="80" t="s">
        <v>496</v>
      </c>
      <c r="AU55" s="80" t="s">
        <v>395</v>
      </c>
      <c r="AV55" s="82">
        <v>0</v>
      </c>
      <c r="AW55" s="80" t="s">
        <v>434</v>
      </c>
    </row>
    <row r="56" spans="1:49" x14ac:dyDescent="0.25">
      <c r="A56" s="75" t="s">
        <v>380</v>
      </c>
      <c r="B56" s="76">
        <v>80</v>
      </c>
      <c r="C56" s="76">
        <v>532</v>
      </c>
      <c r="D56" s="76">
        <v>800</v>
      </c>
      <c r="E56" s="85">
        <v>45945</v>
      </c>
      <c r="F56" s="76">
        <v>477</v>
      </c>
      <c r="G56" s="75" t="s">
        <v>489</v>
      </c>
      <c r="H56" s="75" t="s">
        <v>800</v>
      </c>
      <c r="I56" s="75" t="s">
        <v>801</v>
      </c>
      <c r="J56" s="75" t="s">
        <v>492</v>
      </c>
      <c r="K56" s="68">
        <v>0.7</v>
      </c>
      <c r="L56" s="86"/>
      <c r="M56" s="68">
        <v>0.7</v>
      </c>
      <c r="N56" s="85"/>
      <c r="O56" s="85">
        <v>45964</v>
      </c>
      <c r="P56" s="75" t="s">
        <v>30</v>
      </c>
      <c r="Q56" s="76">
        <v>8</v>
      </c>
      <c r="R56" s="76">
        <v>10</v>
      </c>
      <c r="S56" s="75" t="s">
        <v>802</v>
      </c>
      <c r="T56" s="75" t="s">
        <v>381</v>
      </c>
      <c r="U56" s="75" t="s">
        <v>415</v>
      </c>
      <c r="V56" s="75" t="s">
        <v>416</v>
      </c>
      <c r="W56" s="75" t="s">
        <v>489</v>
      </c>
      <c r="X56" s="75" t="s">
        <v>493</v>
      </c>
      <c r="Y56" s="76">
        <v>5</v>
      </c>
      <c r="Z56" s="75" t="s">
        <v>419</v>
      </c>
      <c r="AA56" s="76">
        <v>870</v>
      </c>
      <c r="AB56" s="75" t="s">
        <v>420</v>
      </c>
      <c r="AC56" s="76">
        <v>235</v>
      </c>
      <c r="AD56" s="76">
        <v>5</v>
      </c>
      <c r="AE56" s="75" t="s">
        <v>383</v>
      </c>
      <c r="AF56" s="76">
        <v>1</v>
      </c>
      <c r="AG56" s="75" t="s">
        <v>418</v>
      </c>
      <c r="AH56" s="76">
        <v>1</v>
      </c>
      <c r="AJ56" s="77" t="s">
        <v>494</v>
      </c>
      <c r="AK56" s="87">
        <v>45964</v>
      </c>
      <c r="AL56" s="78" t="s">
        <v>366</v>
      </c>
      <c r="AM56" s="79">
        <v>1</v>
      </c>
      <c r="AN56" s="78" t="s">
        <v>347</v>
      </c>
      <c r="AO56" s="78" t="s">
        <v>334</v>
      </c>
      <c r="AP56" s="79">
        <v>5</v>
      </c>
      <c r="AQ56" s="80" t="s">
        <v>495</v>
      </c>
      <c r="AR56" s="80" t="s">
        <v>396</v>
      </c>
      <c r="AS56" s="81" t="s">
        <v>433</v>
      </c>
      <c r="AT56" s="80" t="s">
        <v>410</v>
      </c>
      <c r="AU56" s="80" t="s">
        <v>395</v>
      </c>
      <c r="AV56" s="82">
        <v>0</v>
      </c>
      <c r="AW56" s="80" t="s">
        <v>434</v>
      </c>
    </row>
    <row r="57" spans="1:49" x14ac:dyDescent="0.25">
      <c r="A57" s="75" t="s">
        <v>380</v>
      </c>
      <c r="B57" s="76">
        <v>81</v>
      </c>
      <c r="C57" s="76">
        <v>561</v>
      </c>
      <c r="D57" s="76">
        <v>800</v>
      </c>
      <c r="E57" s="85">
        <v>45968</v>
      </c>
      <c r="F57" s="76">
        <v>477</v>
      </c>
      <c r="G57" s="75" t="s">
        <v>489</v>
      </c>
      <c r="H57" s="75" t="s">
        <v>654</v>
      </c>
      <c r="I57" s="75" t="s">
        <v>654</v>
      </c>
      <c r="J57" s="75" t="s">
        <v>655</v>
      </c>
      <c r="K57" s="68">
        <v>20</v>
      </c>
      <c r="L57" s="86"/>
      <c r="M57" s="68">
        <v>20</v>
      </c>
      <c r="N57" s="85"/>
      <c r="O57" s="85">
        <v>46001</v>
      </c>
      <c r="P57" s="75"/>
      <c r="Q57" s="76">
        <v>4</v>
      </c>
      <c r="R57" s="76">
        <v>8</v>
      </c>
      <c r="S57" s="75" t="s">
        <v>37</v>
      </c>
      <c r="T57" s="75" t="s">
        <v>381</v>
      </c>
      <c r="U57" s="75" t="s">
        <v>415</v>
      </c>
      <c r="V57" s="75" t="s">
        <v>416</v>
      </c>
      <c r="W57" s="75" t="s">
        <v>489</v>
      </c>
      <c r="X57" s="75" t="s">
        <v>493</v>
      </c>
      <c r="Y57" s="76">
        <v>5</v>
      </c>
      <c r="Z57" s="75" t="s">
        <v>33</v>
      </c>
      <c r="AA57" s="76">
        <v>972</v>
      </c>
      <c r="AB57" s="75" t="s">
        <v>656</v>
      </c>
      <c r="AC57" s="76">
        <v>180</v>
      </c>
      <c r="AD57" s="76">
        <v>5</v>
      </c>
      <c r="AE57" s="75" t="s">
        <v>383</v>
      </c>
      <c r="AF57" s="76">
        <v>1</v>
      </c>
      <c r="AG57" s="75" t="s">
        <v>418</v>
      </c>
      <c r="AH57" s="76"/>
      <c r="AJ57" s="77" t="s">
        <v>657</v>
      </c>
      <c r="AK57" s="87">
        <v>45982</v>
      </c>
      <c r="AL57" s="78" t="s">
        <v>366</v>
      </c>
      <c r="AM57" s="79">
        <v>1</v>
      </c>
      <c r="AN57" s="78"/>
      <c r="AO57" s="78"/>
      <c r="AP57" s="79"/>
      <c r="AQ57" s="80" t="s">
        <v>665</v>
      </c>
      <c r="AR57" s="80" t="s">
        <v>396</v>
      </c>
      <c r="AS57" s="81" t="s">
        <v>433</v>
      </c>
      <c r="AT57" s="80" t="s">
        <v>431</v>
      </c>
      <c r="AU57" s="80" t="s">
        <v>395</v>
      </c>
      <c r="AV57" s="82">
        <v>0</v>
      </c>
      <c r="AW57" s="80" t="s">
        <v>434</v>
      </c>
    </row>
    <row r="58" spans="1:49" x14ac:dyDescent="0.25">
      <c r="A58" s="75" t="s">
        <v>380</v>
      </c>
      <c r="B58" s="76">
        <v>82</v>
      </c>
      <c r="C58" s="76">
        <v>561</v>
      </c>
      <c r="D58" s="76">
        <v>800</v>
      </c>
      <c r="E58" s="85">
        <v>45968</v>
      </c>
      <c r="F58" s="76">
        <v>477</v>
      </c>
      <c r="G58" s="75" t="s">
        <v>489</v>
      </c>
      <c r="H58" s="75" t="s">
        <v>658</v>
      </c>
      <c r="I58" s="75" t="s">
        <v>658</v>
      </c>
      <c r="J58" s="75" t="s">
        <v>655</v>
      </c>
      <c r="K58" s="68">
        <v>5</v>
      </c>
      <c r="L58" s="86"/>
      <c r="M58" s="68">
        <v>5</v>
      </c>
      <c r="N58" s="85"/>
      <c r="O58" s="85">
        <v>46001</v>
      </c>
      <c r="P58" s="75"/>
      <c r="Q58" s="76">
        <v>4</v>
      </c>
      <c r="R58" s="76">
        <v>8</v>
      </c>
      <c r="S58" s="75" t="s">
        <v>659</v>
      </c>
      <c r="T58" s="75" t="s">
        <v>381</v>
      </c>
      <c r="U58" s="75" t="s">
        <v>415</v>
      </c>
      <c r="V58" s="75" t="s">
        <v>416</v>
      </c>
      <c r="W58" s="75" t="s">
        <v>489</v>
      </c>
      <c r="X58" s="75" t="s">
        <v>493</v>
      </c>
      <c r="Y58" s="76">
        <v>5</v>
      </c>
      <c r="Z58" s="75" t="s">
        <v>33</v>
      </c>
      <c r="AA58" s="76">
        <v>972</v>
      </c>
      <c r="AB58" s="75" t="s">
        <v>656</v>
      </c>
      <c r="AC58" s="76">
        <v>180</v>
      </c>
      <c r="AD58" s="76">
        <v>5</v>
      </c>
      <c r="AE58" s="75" t="s">
        <v>383</v>
      </c>
      <c r="AF58" s="76">
        <v>1</v>
      </c>
      <c r="AG58" s="75" t="s">
        <v>418</v>
      </c>
      <c r="AH58" s="76"/>
      <c r="AJ58" s="77" t="s">
        <v>657</v>
      </c>
      <c r="AK58" s="87">
        <v>45982</v>
      </c>
      <c r="AL58" s="78" t="s">
        <v>366</v>
      </c>
      <c r="AM58" s="79">
        <v>1</v>
      </c>
      <c r="AN58" s="78"/>
      <c r="AO58" s="78"/>
      <c r="AP58" s="79"/>
      <c r="AQ58" s="80" t="s">
        <v>665</v>
      </c>
      <c r="AR58" s="80" t="s">
        <v>396</v>
      </c>
      <c r="AS58" s="81" t="s">
        <v>433</v>
      </c>
      <c r="AT58" s="80" t="s">
        <v>410</v>
      </c>
      <c r="AU58" s="80" t="s">
        <v>395</v>
      </c>
      <c r="AV58" s="82">
        <v>0</v>
      </c>
      <c r="AW58" s="80" t="s">
        <v>434</v>
      </c>
    </row>
    <row r="59" spans="1:49" x14ac:dyDescent="0.25">
      <c r="A59" s="75" t="s">
        <v>380</v>
      </c>
      <c r="B59" s="76">
        <v>83</v>
      </c>
      <c r="C59" s="76">
        <v>561</v>
      </c>
      <c r="D59" s="76">
        <v>800</v>
      </c>
      <c r="E59" s="85">
        <v>45968</v>
      </c>
      <c r="F59" s="76">
        <v>477</v>
      </c>
      <c r="G59" s="75" t="s">
        <v>489</v>
      </c>
      <c r="H59" s="75" t="s">
        <v>660</v>
      </c>
      <c r="I59" s="75" t="s">
        <v>660</v>
      </c>
      <c r="J59" s="75" t="s">
        <v>661</v>
      </c>
      <c r="K59" s="68">
        <v>20</v>
      </c>
      <c r="L59" s="86"/>
      <c r="M59" s="68">
        <v>20</v>
      </c>
      <c r="N59" s="85"/>
      <c r="O59" s="85">
        <v>46001</v>
      </c>
      <c r="P59" s="75"/>
      <c r="Q59" s="76"/>
      <c r="R59" s="76"/>
      <c r="S59" s="75" t="s">
        <v>37</v>
      </c>
      <c r="T59" s="75" t="s">
        <v>381</v>
      </c>
      <c r="U59" s="75" t="s">
        <v>415</v>
      </c>
      <c r="V59" s="75" t="s">
        <v>416</v>
      </c>
      <c r="W59" s="75" t="s">
        <v>489</v>
      </c>
      <c r="X59" s="75" t="s">
        <v>493</v>
      </c>
      <c r="Y59" s="76">
        <v>5</v>
      </c>
      <c r="Z59" s="75" t="s">
        <v>33</v>
      </c>
      <c r="AA59" s="76">
        <v>296</v>
      </c>
      <c r="AB59" s="75" t="s">
        <v>662</v>
      </c>
      <c r="AC59" s="76">
        <v>180</v>
      </c>
      <c r="AD59" s="76">
        <v>5</v>
      </c>
      <c r="AE59" s="75" t="s">
        <v>383</v>
      </c>
      <c r="AF59" s="76">
        <v>1</v>
      </c>
      <c r="AG59" s="75" t="s">
        <v>418</v>
      </c>
      <c r="AH59" s="76"/>
      <c r="AJ59" s="77" t="s">
        <v>657</v>
      </c>
      <c r="AK59" s="87">
        <v>45982</v>
      </c>
      <c r="AL59" s="78" t="s">
        <v>366</v>
      </c>
      <c r="AM59" s="79">
        <v>1</v>
      </c>
      <c r="AN59" s="78"/>
      <c r="AO59" s="78"/>
      <c r="AP59" s="79"/>
      <c r="AQ59" s="80" t="s">
        <v>665</v>
      </c>
      <c r="AR59" s="80" t="s">
        <v>396</v>
      </c>
      <c r="AS59" s="81" t="s">
        <v>433</v>
      </c>
      <c r="AT59" s="80" t="s">
        <v>431</v>
      </c>
      <c r="AU59" s="80" t="s">
        <v>395</v>
      </c>
      <c r="AV59" s="82">
        <v>0</v>
      </c>
      <c r="AW59" s="80" t="s">
        <v>434</v>
      </c>
    </row>
    <row r="60" spans="1:49" x14ac:dyDescent="0.25">
      <c r="A60" s="75" t="s">
        <v>380</v>
      </c>
      <c r="B60" s="76">
        <v>84</v>
      </c>
      <c r="C60" s="76">
        <v>561</v>
      </c>
      <c r="D60" s="76">
        <v>800</v>
      </c>
      <c r="E60" s="85">
        <v>45968</v>
      </c>
      <c r="F60" s="76">
        <v>477</v>
      </c>
      <c r="G60" s="75" t="s">
        <v>489</v>
      </c>
      <c r="H60" s="75" t="s">
        <v>663</v>
      </c>
      <c r="I60" s="75" t="s">
        <v>663</v>
      </c>
      <c r="J60" s="75" t="s">
        <v>661</v>
      </c>
      <c r="K60" s="68">
        <v>5</v>
      </c>
      <c r="L60" s="86"/>
      <c r="M60" s="68">
        <v>5</v>
      </c>
      <c r="N60" s="85"/>
      <c r="O60" s="85">
        <v>46001</v>
      </c>
      <c r="P60" s="75"/>
      <c r="Q60" s="76"/>
      <c r="R60" s="76"/>
      <c r="S60" s="75" t="s">
        <v>659</v>
      </c>
      <c r="T60" s="75" t="s">
        <v>381</v>
      </c>
      <c r="U60" s="75" t="s">
        <v>415</v>
      </c>
      <c r="V60" s="75" t="s">
        <v>416</v>
      </c>
      <c r="W60" s="75" t="s">
        <v>489</v>
      </c>
      <c r="X60" s="75" t="s">
        <v>493</v>
      </c>
      <c r="Y60" s="76">
        <v>5</v>
      </c>
      <c r="Z60" s="75" t="s">
        <v>33</v>
      </c>
      <c r="AA60" s="76">
        <v>296</v>
      </c>
      <c r="AB60" s="75" t="s">
        <v>662</v>
      </c>
      <c r="AC60" s="76">
        <v>180</v>
      </c>
      <c r="AD60" s="76">
        <v>5</v>
      </c>
      <c r="AE60" s="75" t="s">
        <v>383</v>
      </c>
      <c r="AF60" s="76">
        <v>1</v>
      </c>
      <c r="AG60" s="75" t="s">
        <v>418</v>
      </c>
      <c r="AH60" s="76"/>
      <c r="AJ60" s="77" t="s">
        <v>657</v>
      </c>
      <c r="AK60" s="87">
        <v>45982</v>
      </c>
      <c r="AL60" s="78" t="s">
        <v>366</v>
      </c>
      <c r="AM60" s="79">
        <v>1</v>
      </c>
      <c r="AN60" s="78"/>
      <c r="AO60" s="78"/>
      <c r="AP60" s="79"/>
      <c r="AQ60" s="80" t="s">
        <v>665</v>
      </c>
      <c r="AR60" s="80" t="s">
        <v>396</v>
      </c>
      <c r="AS60" s="81" t="s">
        <v>433</v>
      </c>
      <c r="AT60" s="80" t="s">
        <v>410</v>
      </c>
      <c r="AU60" s="80" t="s">
        <v>395</v>
      </c>
      <c r="AV60" s="82">
        <v>0</v>
      </c>
      <c r="AW60" s="80" t="s">
        <v>434</v>
      </c>
    </row>
    <row r="61" spans="1:49" x14ac:dyDescent="0.25">
      <c r="A61" s="75" t="s">
        <v>380</v>
      </c>
      <c r="B61" s="76">
        <v>85</v>
      </c>
      <c r="C61" s="76">
        <v>779</v>
      </c>
      <c r="D61" s="76">
        <v>0</v>
      </c>
      <c r="E61" s="85">
        <v>45959</v>
      </c>
      <c r="F61" s="76">
        <v>484</v>
      </c>
      <c r="G61" s="75" t="s">
        <v>556</v>
      </c>
      <c r="H61" s="75" t="s">
        <v>557</v>
      </c>
      <c r="I61" s="75" t="s">
        <v>558</v>
      </c>
      <c r="J61" s="75" t="s">
        <v>559</v>
      </c>
      <c r="K61" s="68">
        <v>1000</v>
      </c>
      <c r="L61" s="86"/>
      <c r="M61" s="68">
        <v>1000</v>
      </c>
      <c r="N61" s="85"/>
      <c r="O61" s="85">
        <v>46036</v>
      </c>
      <c r="P61" s="75" t="s">
        <v>31</v>
      </c>
      <c r="Q61" s="76">
        <v>8</v>
      </c>
      <c r="R61" s="76">
        <v>10</v>
      </c>
      <c r="S61" s="75" t="s">
        <v>47</v>
      </c>
      <c r="T61" s="75" t="s">
        <v>381</v>
      </c>
      <c r="U61" s="75" t="s">
        <v>415</v>
      </c>
      <c r="V61" s="75" t="s">
        <v>416</v>
      </c>
      <c r="W61" s="75" t="s">
        <v>556</v>
      </c>
      <c r="X61" s="75" t="s">
        <v>560</v>
      </c>
      <c r="Y61" s="76">
        <v>5</v>
      </c>
      <c r="Z61" s="75" t="s">
        <v>419</v>
      </c>
      <c r="AA61" s="76">
        <v>870</v>
      </c>
      <c r="AB61" s="75" t="s">
        <v>420</v>
      </c>
      <c r="AC61" s="76">
        <v>235</v>
      </c>
      <c r="AD61" s="76">
        <v>5</v>
      </c>
      <c r="AE61" s="75" t="s">
        <v>383</v>
      </c>
      <c r="AF61" s="76">
        <v>1</v>
      </c>
      <c r="AG61" s="75" t="s">
        <v>418</v>
      </c>
      <c r="AH61" s="76">
        <v>2</v>
      </c>
      <c r="AJ61" s="77" t="s">
        <v>561</v>
      </c>
      <c r="AK61" s="87"/>
      <c r="AL61" s="78" t="s">
        <v>367</v>
      </c>
      <c r="AM61" s="79">
        <v>1</v>
      </c>
      <c r="AN61" s="78"/>
      <c r="AO61" s="78"/>
      <c r="AP61" s="79"/>
      <c r="AQ61" s="80" t="s">
        <v>567</v>
      </c>
      <c r="AR61" s="80" t="s">
        <v>394</v>
      </c>
      <c r="AS61" s="81" t="s">
        <v>433</v>
      </c>
      <c r="AT61" s="80" t="s">
        <v>431</v>
      </c>
      <c r="AU61" s="80" t="s">
        <v>395</v>
      </c>
      <c r="AV61" s="82">
        <v>0</v>
      </c>
      <c r="AW61" s="80" t="s">
        <v>434</v>
      </c>
    </row>
    <row r="62" spans="1:49" x14ac:dyDescent="0.25">
      <c r="A62" s="75" t="s">
        <v>380</v>
      </c>
      <c r="B62" s="76">
        <v>86</v>
      </c>
      <c r="C62" s="76">
        <v>811</v>
      </c>
      <c r="D62" s="76">
        <v>0</v>
      </c>
      <c r="E62" s="85">
        <v>45975</v>
      </c>
      <c r="F62" s="76">
        <v>484</v>
      </c>
      <c r="G62" s="75" t="s">
        <v>556</v>
      </c>
      <c r="H62" s="75" t="s">
        <v>735</v>
      </c>
      <c r="I62" s="75" t="s">
        <v>736</v>
      </c>
      <c r="J62" s="75" t="s">
        <v>737</v>
      </c>
      <c r="K62" s="68">
        <v>640</v>
      </c>
      <c r="L62" s="86"/>
      <c r="M62" s="68">
        <v>640</v>
      </c>
      <c r="N62" s="85"/>
      <c r="O62" s="85">
        <v>46036</v>
      </c>
      <c r="P62" s="75" t="s">
        <v>31</v>
      </c>
      <c r="Q62" s="76">
        <v>8</v>
      </c>
      <c r="R62" s="76">
        <v>10</v>
      </c>
      <c r="S62" s="75" t="s">
        <v>37</v>
      </c>
      <c r="T62" s="75" t="s">
        <v>381</v>
      </c>
      <c r="U62" s="75" t="s">
        <v>415</v>
      </c>
      <c r="V62" s="75" t="s">
        <v>416</v>
      </c>
      <c r="W62" s="75" t="s">
        <v>556</v>
      </c>
      <c r="X62" s="75" t="s">
        <v>560</v>
      </c>
      <c r="Y62" s="76">
        <v>5</v>
      </c>
      <c r="Z62" s="75" t="s">
        <v>669</v>
      </c>
      <c r="AA62" s="76">
        <v>745</v>
      </c>
      <c r="AB62" s="75" t="s">
        <v>691</v>
      </c>
      <c r="AC62" s="76">
        <v>125</v>
      </c>
      <c r="AD62" s="76">
        <v>5</v>
      </c>
      <c r="AE62" s="75" t="s">
        <v>383</v>
      </c>
      <c r="AF62" s="76">
        <v>1</v>
      </c>
      <c r="AG62" s="75" t="s">
        <v>418</v>
      </c>
      <c r="AH62" s="76">
        <v>2</v>
      </c>
      <c r="AJ62" s="77" t="s">
        <v>561</v>
      </c>
      <c r="AK62" s="87"/>
      <c r="AL62" s="78" t="s">
        <v>367</v>
      </c>
      <c r="AM62" s="79">
        <v>1</v>
      </c>
      <c r="AN62" s="78"/>
      <c r="AO62" s="78"/>
      <c r="AP62" s="79"/>
      <c r="AQ62" s="80" t="s">
        <v>774</v>
      </c>
      <c r="AR62" s="80" t="s">
        <v>394</v>
      </c>
      <c r="AS62" s="81" t="s">
        <v>433</v>
      </c>
      <c r="AT62" s="80" t="s">
        <v>431</v>
      </c>
      <c r="AU62" s="80" t="s">
        <v>395</v>
      </c>
      <c r="AV62" s="82">
        <v>0</v>
      </c>
      <c r="AW62" s="80" t="s">
        <v>434</v>
      </c>
    </row>
    <row r="63" spans="1:49" x14ac:dyDescent="0.25">
      <c r="A63" s="75" t="s">
        <v>380</v>
      </c>
      <c r="B63" s="76">
        <v>87</v>
      </c>
      <c r="C63" s="76">
        <v>823</v>
      </c>
      <c r="D63" s="76">
        <v>0</v>
      </c>
      <c r="E63" s="85">
        <v>45979</v>
      </c>
      <c r="F63" s="76">
        <v>492</v>
      </c>
      <c r="G63" s="75" t="s">
        <v>803</v>
      </c>
      <c r="H63" s="75" t="s">
        <v>452</v>
      </c>
      <c r="I63" s="75" t="s">
        <v>804</v>
      </c>
      <c r="J63" s="75" t="s">
        <v>805</v>
      </c>
      <c r="K63" s="68">
        <v>5000</v>
      </c>
      <c r="L63" s="86"/>
      <c r="M63" s="68">
        <v>5000</v>
      </c>
      <c r="N63" s="85"/>
      <c r="O63" s="85">
        <v>46049</v>
      </c>
      <c r="P63" s="75" t="s">
        <v>414</v>
      </c>
      <c r="Q63" s="76">
        <v>8</v>
      </c>
      <c r="R63" s="76">
        <v>10</v>
      </c>
      <c r="S63" s="75" t="s">
        <v>47</v>
      </c>
      <c r="T63" s="75" t="s">
        <v>381</v>
      </c>
      <c r="U63" s="75" t="s">
        <v>415</v>
      </c>
      <c r="V63" s="75" t="s">
        <v>416</v>
      </c>
      <c r="W63" s="75" t="s">
        <v>806</v>
      </c>
      <c r="X63" s="75" t="s">
        <v>807</v>
      </c>
      <c r="Y63" s="76">
        <v>5</v>
      </c>
      <c r="Z63" s="75" t="s">
        <v>419</v>
      </c>
      <c r="AA63" s="76">
        <v>870</v>
      </c>
      <c r="AB63" s="75" t="s">
        <v>420</v>
      </c>
      <c r="AC63" s="76">
        <v>235</v>
      </c>
      <c r="AD63" s="76">
        <v>5</v>
      </c>
      <c r="AE63" s="75" t="s">
        <v>383</v>
      </c>
      <c r="AF63" s="76">
        <v>1</v>
      </c>
      <c r="AG63" s="75" t="s">
        <v>418</v>
      </c>
      <c r="AH63" s="76">
        <v>70</v>
      </c>
      <c r="AJ63" s="77" t="s">
        <v>808</v>
      </c>
      <c r="AK63" s="87"/>
      <c r="AL63" s="78" t="s">
        <v>366</v>
      </c>
      <c r="AM63" s="79">
        <v>1</v>
      </c>
      <c r="AN63" s="78"/>
      <c r="AO63" s="78"/>
      <c r="AP63" s="79"/>
      <c r="AQ63" s="80" t="s">
        <v>855</v>
      </c>
      <c r="AR63" s="80" t="s">
        <v>394</v>
      </c>
      <c r="AS63" s="81" t="s">
        <v>433</v>
      </c>
      <c r="AT63" s="80" t="s">
        <v>431</v>
      </c>
      <c r="AU63" s="80" t="s">
        <v>395</v>
      </c>
      <c r="AV63" s="82">
        <v>0</v>
      </c>
      <c r="AW63" s="80" t="s">
        <v>434</v>
      </c>
    </row>
    <row r="64" spans="1:49" x14ac:dyDescent="0.25">
      <c r="A64" s="75" t="s">
        <v>380</v>
      </c>
      <c r="B64" s="76">
        <v>89</v>
      </c>
      <c r="C64" s="76">
        <v>699</v>
      </c>
      <c r="D64" s="76">
        <v>0</v>
      </c>
      <c r="E64" s="85">
        <v>45889</v>
      </c>
      <c r="F64" s="76">
        <v>557</v>
      </c>
      <c r="G64" s="75" t="s">
        <v>405</v>
      </c>
      <c r="H64" s="75" t="s">
        <v>407</v>
      </c>
      <c r="I64" s="75" t="s">
        <v>408</v>
      </c>
      <c r="J64" s="75" t="s">
        <v>409</v>
      </c>
      <c r="K64" s="68">
        <v>500</v>
      </c>
      <c r="L64" s="86"/>
      <c r="M64" s="68">
        <v>500</v>
      </c>
      <c r="N64" s="85"/>
      <c r="O64" s="85">
        <v>46052</v>
      </c>
      <c r="P64" s="75" t="s">
        <v>30</v>
      </c>
      <c r="Q64" s="76">
        <v>4</v>
      </c>
      <c r="R64" s="76">
        <v>8</v>
      </c>
      <c r="S64" s="75" t="s">
        <v>46</v>
      </c>
      <c r="T64" s="75" t="s">
        <v>381</v>
      </c>
      <c r="U64" s="75" t="s">
        <v>415</v>
      </c>
      <c r="V64" s="75" t="s">
        <v>416</v>
      </c>
      <c r="W64" s="75" t="s">
        <v>405</v>
      </c>
      <c r="X64" s="75" t="s">
        <v>406</v>
      </c>
      <c r="Y64" s="76">
        <v>6</v>
      </c>
      <c r="Z64" s="75" t="s">
        <v>36</v>
      </c>
      <c r="AA64" s="76">
        <v>364</v>
      </c>
      <c r="AB64" s="75" t="s">
        <v>429</v>
      </c>
      <c r="AC64" s="76">
        <v>295</v>
      </c>
      <c r="AD64" s="76">
        <v>6</v>
      </c>
      <c r="AE64" s="75" t="s">
        <v>382</v>
      </c>
      <c r="AF64" s="76">
        <v>1</v>
      </c>
      <c r="AG64" s="75" t="s">
        <v>418</v>
      </c>
      <c r="AH64" s="76">
        <v>1</v>
      </c>
      <c r="AJ64" s="77" t="s">
        <v>411</v>
      </c>
      <c r="AK64" s="87"/>
      <c r="AL64" s="78" t="s">
        <v>366</v>
      </c>
      <c r="AM64" s="79">
        <v>1</v>
      </c>
      <c r="AN64" s="78" t="s">
        <v>347</v>
      </c>
      <c r="AO64" s="78" t="s">
        <v>334</v>
      </c>
      <c r="AP64" s="79">
        <v>5</v>
      </c>
      <c r="AQ64" s="80" t="s">
        <v>412</v>
      </c>
      <c r="AR64" s="80" t="s">
        <v>394</v>
      </c>
      <c r="AS64" s="81" t="s">
        <v>398</v>
      </c>
      <c r="AT64" s="80" t="s">
        <v>437</v>
      </c>
      <c r="AU64" s="80" t="s">
        <v>395</v>
      </c>
      <c r="AV64" s="82">
        <v>0</v>
      </c>
      <c r="AW64" s="80" t="s">
        <v>399</v>
      </c>
    </row>
    <row r="65" spans="1:49" x14ac:dyDescent="0.25">
      <c r="A65" s="75" t="s">
        <v>380</v>
      </c>
      <c r="B65" s="76">
        <v>90</v>
      </c>
      <c r="C65" s="76">
        <v>700</v>
      </c>
      <c r="D65" s="76">
        <v>0</v>
      </c>
      <c r="E65" s="85">
        <v>45889</v>
      </c>
      <c r="F65" s="76">
        <v>557</v>
      </c>
      <c r="G65" s="75" t="s">
        <v>405</v>
      </c>
      <c r="H65" s="75" t="s">
        <v>407</v>
      </c>
      <c r="I65" s="75" t="s">
        <v>408</v>
      </c>
      <c r="J65" s="75" t="s">
        <v>409</v>
      </c>
      <c r="K65" s="68">
        <v>500</v>
      </c>
      <c r="L65" s="86"/>
      <c r="M65" s="68">
        <v>500</v>
      </c>
      <c r="N65" s="85"/>
      <c r="O65" s="85">
        <v>46171</v>
      </c>
      <c r="P65" s="75" t="s">
        <v>30</v>
      </c>
      <c r="Q65" s="76">
        <v>4</v>
      </c>
      <c r="R65" s="76">
        <v>8</v>
      </c>
      <c r="S65" s="75" t="s">
        <v>46</v>
      </c>
      <c r="T65" s="75" t="s">
        <v>381</v>
      </c>
      <c r="U65" s="75" t="s">
        <v>415</v>
      </c>
      <c r="V65" s="75" t="s">
        <v>416</v>
      </c>
      <c r="W65" s="75" t="s">
        <v>405</v>
      </c>
      <c r="X65" s="75" t="s">
        <v>406</v>
      </c>
      <c r="Y65" s="76">
        <v>6</v>
      </c>
      <c r="Z65" s="75" t="s">
        <v>36</v>
      </c>
      <c r="AA65" s="76">
        <v>364</v>
      </c>
      <c r="AB65" s="75" t="s">
        <v>429</v>
      </c>
      <c r="AC65" s="76">
        <v>295</v>
      </c>
      <c r="AD65" s="76">
        <v>6</v>
      </c>
      <c r="AE65" s="75" t="s">
        <v>382</v>
      </c>
      <c r="AF65" s="76">
        <v>1</v>
      </c>
      <c r="AG65" s="75" t="s">
        <v>418</v>
      </c>
      <c r="AH65" s="76">
        <v>1</v>
      </c>
      <c r="AJ65" s="77" t="s">
        <v>411</v>
      </c>
      <c r="AK65" s="87"/>
      <c r="AL65" s="78" t="s">
        <v>366</v>
      </c>
      <c r="AM65" s="79">
        <v>1</v>
      </c>
      <c r="AN65" s="78" t="s">
        <v>347</v>
      </c>
      <c r="AO65" s="78" t="s">
        <v>334</v>
      </c>
      <c r="AP65" s="79">
        <v>5</v>
      </c>
      <c r="AQ65" s="80" t="s">
        <v>413</v>
      </c>
      <c r="AR65" s="80" t="s">
        <v>394</v>
      </c>
      <c r="AS65" s="81" t="s">
        <v>398</v>
      </c>
      <c r="AT65" s="80" t="s">
        <v>437</v>
      </c>
      <c r="AU65" s="80" t="s">
        <v>395</v>
      </c>
      <c r="AV65" s="82">
        <v>0</v>
      </c>
      <c r="AW65" s="80" t="s">
        <v>399</v>
      </c>
    </row>
    <row r="66" spans="1:49" x14ac:dyDescent="0.25">
      <c r="A66" s="75" t="s">
        <v>380</v>
      </c>
      <c r="B66" s="76">
        <v>91</v>
      </c>
      <c r="C66" s="76">
        <v>735</v>
      </c>
      <c r="D66" s="76">
        <v>0</v>
      </c>
      <c r="E66" s="85">
        <v>45929</v>
      </c>
      <c r="F66" s="76">
        <v>557</v>
      </c>
      <c r="G66" s="75" t="s">
        <v>405</v>
      </c>
      <c r="H66" s="75" t="s">
        <v>473</v>
      </c>
      <c r="I66" s="75" t="s">
        <v>474</v>
      </c>
      <c r="J66" s="75" t="s">
        <v>475</v>
      </c>
      <c r="K66" s="68">
        <v>250</v>
      </c>
      <c r="L66" s="86"/>
      <c r="M66" s="68">
        <v>250</v>
      </c>
      <c r="N66" s="85"/>
      <c r="O66" s="85">
        <v>45993</v>
      </c>
      <c r="P66" s="75"/>
      <c r="Q66" s="76">
        <v>8</v>
      </c>
      <c r="R66" s="76">
        <v>10</v>
      </c>
      <c r="S66" s="75" t="s">
        <v>312</v>
      </c>
      <c r="T66" s="75" t="s">
        <v>381</v>
      </c>
      <c r="U66" s="75" t="s">
        <v>415</v>
      </c>
      <c r="V66" s="75" t="s">
        <v>416</v>
      </c>
      <c r="W66" s="75" t="s">
        <v>405</v>
      </c>
      <c r="X66" s="75" t="s">
        <v>406</v>
      </c>
      <c r="Y66" s="76">
        <v>6</v>
      </c>
      <c r="Z66" s="75" t="s">
        <v>447</v>
      </c>
      <c r="AA66" s="76">
        <v>135</v>
      </c>
      <c r="AB66" s="75" t="s">
        <v>417</v>
      </c>
      <c r="AC66" s="76">
        <v>215</v>
      </c>
      <c r="AD66" s="76">
        <v>6</v>
      </c>
      <c r="AE66" s="75" t="s">
        <v>382</v>
      </c>
      <c r="AF66" s="76">
        <v>1</v>
      </c>
      <c r="AG66" s="75" t="s">
        <v>418</v>
      </c>
      <c r="AH66" s="76"/>
      <c r="AJ66" s="77" t="s">
        <v>476</v>
      </c>
      <c r="AK66" s="87"/>
      <c r="AL66" s="78" t="s">
        <v>366</v>
      </c>
      <c r="AM66" s="79">
        <v>1</v>
      </c>
      <c r="AN66" s="78"/>
      <c r="AO66" s="78"/>
      <c r="AP66" s="79"/>
      <c r="AQ66" s="80" t="s">
        <v>477</v>
      </c>
      <c r="AR66" s="80" t="s">
        <v>394</v>
      </c>
      <c r="AS66" s="81" t="s">
        <v>398</v>
      </c>
      <c r="AT66" s="80" t="s">
        <v>431</v>
      </c>
      <c r="AU66" s="80" t="s">
        <v>395</v>
      </c>
      <c r="AV66" s="82">
        <v>0</v>
      </c>
      <c r="AW66" s="80" t="s">
        <v>399</v>
      </c>
    </row>
    <row r="67" spans="1:49" x14ac:dyDescent="0.25">
      <c r="A67" s="75" t="s">
        <v>380</v>
      </c>
      <c r="B67" s="76">
        <v>92</v>
      </c>
      <c r="C67" s="76">
        <v>789</v>
      </c>
      <c r="D67" s="76">
        <v>0</v>
      </c>
      <c r="E67" s="85">
        <v>45966</v>
      </c>
      <c r="F67" s="76">
        <v>557</v>
      </c>
      <c r="G67" s="75" t="s">
        <v>405</v>
      </c>
      <c r="H67" s="75" t="s">
        <v>473</v>
      </c>
      <c r="I67" s="75" t="s">
        <v>474</v>
      </c>
      <c r="J67" s="75" t="s">
        <v>475</v>
      </c>
      <c r="K67" s="68">
        <v>100</v>
      </c>
      <c r="L67" s="86"/>
      <c r="M67" s="68">
        <v>100</v>
      </c>
      <c r="N67" s="85"/>
      <c r="O67" s="85">
        <v>45993</v>
      </c>
      <c r="P67" s="75" t="s">
        <v>59</v>
      </c>
      <c r="Q67" s="76">
        <v>8</v>
      </c>
      <c r="R67" s="76">
        <v>10</v>
      </c>
      <c r="S67" s="75" t="s">
        <v>312</v>
      </c>
      <c r="T67" s="75" t="s">
        <v>381</v>
      </c>
      <c r="U67" s="75" t="s">
        <v>415</v>
      </c>
      <c r="V67" s="75" t="s">
        <v>416</v>
      </c>
      <c r="W67" s="75" t="s">
        <v>405</v>
      </c>
      <c r="X67" s="75" t="s">
        <v>406</v>
      </c>
      <c r="Y67" s="76">
        <v>6</v>
      </c>
      <c r="Z67" s="75" t="s">
        <v>447</v>
      </c>
      <c r="AA67" s="76">
        <v>135</v>
      </c>
      <c r="AB67" s="75" t="s">
        <v>417</v>
      </c>
      <c r="AC67" s="76">
        <v>215</v>
      </c>
      <c r="AD67" s="76">
        <v>6</v>
      </c>
      <c r="AE67" s="75" t="s">
        <v>382</v>
      </c>
      <c r="AF67" s="76">
        <v>1</v>
      </c>
      <c r="AG67" s="75" t="s">
        <v>418</v>
      </c>
      <c r="AH67" s="76">
        <v>45</v>
      </c>
      <c r="AJ67" s="77" t="s">
        <v>476</v>
      </c>
      <c r="AK67" s="87"/>
      <c r="AL67" s="78" t="s">
        <v>366</v>
      </c>
      <c r="AM67" s="79">
        <v>1</v>
      </c>
      <c r="AN67" s="78"/>
      <c r="AO67" s="78"/>
      <c r="AP67" s="79"/>
      <c r="AQ67" s="80" t="s">
        <v>629</v>
      </c>
      <c r="AR67" s="80" t="s">
        <v>394</v>
      </c>
      <c r="AS67" s="81" t="s">
        <v>398</v>
      </c>
      <c r="AT67" s="80" t="s">
        <v>431</v>
      </c>
      <c r="AU67" s="80" t="s">
        <v>395</v>
      </c>
      <c r="AV67" s="82">
        <v>0</v>
      </c>
      <c r="AW67" s="80" t="s">
        <v>399</v>
      </c>
    </row>
    <row r="68" spans="1:49" x14ac:dyDescent="0.25">
      <c r="A68" s="75" t="s">
        <v>380</v>
      </c>
      <c r="B68" s="76">
        <v>93</v>
      </c>
      <c r="C68" s="76">
        <v>715</v>
      </c>
      <c r="D68" s="76">
        <v>0</v>
      </c>
      <c r="E68" s="85">
        <v>45912</v>
      </c>
      <c r="F68" s="76">
        <v>568</v>
      </c>
      <c r="G68" s="75" t="s">
        <v>440</v>
      </c>
      <c r="H68" s="75" t="s">
        <v>441</v>
      </c>
      <c r="I68" s="75" t="s">
        <v>442</v>
      </c>
      <c r="J68" s="75" t="s">
        <v>400</v>
      </c>
      <c r="K68" s="68">
        <v>2000</v>
      </c>
      <c r="L68" s="86"/>
      <c r="M68" s="68">
        <v>2000</v>
      </c>
      <c r="N68" s="85"/>
      <c r="O68" s="85">
        <v>46009</v>
      </c>
      <c r="P68" s="75" t="s">
        <v>31</v>
      </c>
      <c r="Q68" s="76">
        <v>8</v>
      </c>
      <c r="R68" s="76">
        <v>10</v>
      </c>
      <c r="S68" s="75" t="s">
        <v>47</v>
      </c>
      <c r="T68" s="75" t="s">
        <v>381</v>
      </c>
      <c r="U68" s="75" t="s">
        <v>415</v>
      </c>
      <c r="V68" s="75" t="s">
        <v>416</v>
      </c>
      <c r="W68" s="75" t="s">
        <v>443</v>
      </c>
      <c r="X68" s="75" t="s">
        <v>444</v>
      </c>
      <c r="Y68" s="76">
        <v>5</v>
      </c>
      <c r="Z68" s="75" t="s">
        <v>419</v>
      </c>
      <c r="AA68" s="76">
        <v>870</v>
      </c>
      <c r="AB68" s="75" t="s">
        <v>420</v>
      </c>
      <c r="AC68" s="76">
        <v>235</v>
      </c>
      <c r="AD68" s="76">
        <v>5</v>
      </c>
      <c r="AE68" s="75" t="s">
        <v>383</v>
      </c>
      <c r="AF68" s="76">
        <v>1</v>
      </c>
      <c r="AG68" s="75" t="s">
        <v>418</v>
      </c>
      <c r="AH68" s="76">
        <v>2</v>
      </c>
      <c r="AJ68" s="77" t="s">
        <v>445</v>
      </c>
      <c r="AK68" s="87"/>
      <c r="AL68" s="78" t="s">
        <v>367</v>
      </c>
      <c r="AM68" s="79">
        <v>1</v>
      </c>
      <c r="AN68" s="78"/>
      <c r="AO68" s="78"/>
      <c r="AP68" s="79"/>
      <c r="AQ68" s="80" t="s">
        <v>446</v>
      </c>
      <c r="AR68" s="80" t="s">
        <v>394</v>
      </c>
      <c r="AS68" s="81" t="s">
        <v>433</v>
      </c>
      <c r="AT68" s="80" t="s">
        <v>431</v>
      </c>
      <c r="AU68" s="80" t="s">
        <v>395</v>
      </c>
      <c r="AV68" s="82">
        <v>0</v>
      </c>
      <c r="AW68" s="80" t="s">
        <v>434</v>
      </c>
    </row>
    <row r="69" spans="1:49" x14ac:dyDescent="0.25">
      <c r="A69" s="75" t="s">
        <v>380</v>
      </c>
      <c r="B69" s="76">
        <v>94</v>
      </c>
      <c r="C69" s="76">
        <v>763</v>
      </c>
      <c r="D69" s="76">
        <v>0</v>
      </c>
      <c r="E69" s="85">
        <v>45952</v>
      </c>
      <c r="F69" s="76">
        <v>606</v>
      </c>
      <c r="G69" s="75" t="s">
        <v>498</v>
      </c>
      <c r="H69" s="75" t="s">
        <v>499</v>
      </c>
      <c r="I69" s="75" t="s">
        <v>500</v>
      </c>
      <c r="J69" s="75" t="s">
        <v>501</v>
      </c>
      <c r="K69" s="68">
        <v>20000</v>
      </c>
      <c r="L69" s="86"/>
      <c r="M69" s="68">
        <v>20000</v>
      </c>
      <c r="N69" s="85"/>
      <c r="O69" s="85">
        <v>45992</v>
      </c>
      <c r="P69" s="75" t="s">
        <v>40</v>
      </c>
      <c r="Q69" s="76">
        <v>8</v>
      </c>
      <c r="R69" s="76">
        <v>10</v>
      </c>
      <c r="S69" s="75" t="s">
        <v>362</v>
      </c>
      <c r="T69" s="75" t="s">
        <v>381</v>
      </c>
      <c r="U69" s="75" t="s">
        <v>415</v>
      </c>
      <c r="V69" s="75" t="s">
        <v>416</v>
      </c>
      <c r="W69" s="75" t="s">
        <v>502</v>
      </c>
      <c r="X69" s="75" t="s">
        <v>503</v>
      </c>
      <c r="Y69" s="76">
        <v>5</v>
      </c>
      <c r="Z69" s="75" t="s">
        <v>419</v>
      </c>
      <c r="AA69" s="76">
        <v>870</v>
      </c>
      <c r="AB69" s="75" t="s">
        <v>420</v>
      </c>
      <c r="AC69" s="76">
        <v>235</v>
      </c>
      <c r="AD69" s="76">
        <v>5</v>
      </c>
      <c r="AE69" s="75" t="s">
        <v>383</v>
      </c>
      <c r="AF69" s="76">
        <v>1</v>
      </c>
      <c r="AG69" s="75" t="s">
        <v>418</v>
      </c>
      <c r="AH69" s="76">
        <v>5</v>
      </c>
      <c r="AJ69" s="77" t="s">
        <v>504</v>
      </c>
      <c r="AK69" s="87">
        <v>46010</v>
      </c>
      <c r="AL69" s="78" t="s">
        <v>366</v>
      </c>
      <c r="AM69" s="79">
        <v>1</v>
      </c>
      <c r="AN69" s="78" t="s">
        <v>347</v>
      </c>
      <c r="AO69" s="78" t="s">
        <v>334</v>
      </c>
      <c r="AP69" s="79">
        <v>6</v>
      </c>
      <c r="AQ69" s="80" t="s">
        <v>506</v>
      </c>
      <c r="AR69" s="80" t="s">
        <v>394</v>
      </c>
      <c r="AS69" s="81" t="s">
        <v>433</v>
      </c>
      <c r="AT69" s="80" t="s">
        <v>435</v>
      </c>
      <c r="AU69" s="80" t="s">
        <v>395</v>
      </c>
      <c r="AV69" s="82">
        <v>0</v>
      </c>
      <c r="AW69" s="80" t="s">
        <v>434</v>
      </c>
    </row>
    <row r="70" spans="1:49" x14ac:dyDescent="0.25">
      <c r="A70" s="75" t="s">
        <v>380</v>
      </c>
      <c r="B70" s="76">
        <v>95</v>
      </c>
      <c r="C70" s="76">
        <v>764</v>
      </c>
      <c r="D70" s="76">
        <v>0</v>
      </c>
      <c r="E70" s="85">
        <v>45952</v>
      </c>
      <c r="F70" s="76">
        <v>606</v>
      </c>
      <c r="G70" s="75" t="s">
        <v>498</v>
      </c>
      <c r="H70" s="75" t="s">
        <v>499</v>
      </c>
      <c r="I70" s="75" t="s">
        <v>500</v>
      </c>
      <c r="J70" s="75" t="s">
        <v>501</v>
      </c>
      <c r="K70" s="68">
        <v>20000</v>
      </c>
      <c r="L70" s="86"/>
      <c r="M70" s="68">
        <v>20000</v>
      </c>
      <c r="N70" s="85"/>
      <c r="O70" s="85">
        <v>46000</v>
      </c>
      <c r="P70" s="75"/>
      <c r="Q70" s="76">
        <v>8</v>
      </c>
      <c r="R70" s="76">
        <v>10</v>
      </c>
      <c r="S70" s="75" t="s">
        <v>362</v>
      </c>
      <c r="T70" s="75" t="s">
        <v>381</v>
      </c>
      <c r="U70" s="75" t="s">
        <v>415</v>
      </c>
      <c r="V70" s="75" t="s">
        <v>416</v>
      </c>
      <c r="W70" s="75" t="s">
        <v>502</v>
      </c>
      <c r="X70" s="75" t="s">
        <v>503</v>
      </c>
      <c r="Y70" s="76">
        <v>5</v>
      </c>
      <c r="Z70" s="75" t="s">
        <v>419</v>
      </c>
      <c r="AA70" s="76">
        <v>870</v>
      </c>
      <c r="AB70" s="75" t="s">
        <v>420</v>
      </c>
      <c r="AC70" s="76">
        <v>235</v>
      </c>
      <c r="AD70" s="76">
        <v>5</v>
      </c>
      <c r="AE70" s="75" t="s">
        <v>383</v>
      </c>
      <c r="AF70" s="76">
        <v>1</v>
      </c>
      <c r="AG70" s="75" t="s">
        <v>418</v>
      </c>
      <c r="AH70" s="76"/>
      <c r="AJ70" s="77" t="s">
        <v>505</v>
      </c>
      <c r="AK70" s="87"/>
      <c r="AL70" s="78" t="s">
        <v>366</v>
      </c>
      <c r="AM70" s="79">
        <v>1</v>
      </c>
      <c r="AN70" s="78"/>
      <c r="AO70" s="78"/>
      <c r="AP70" s="79"/>
      <c r="AQ70" s="80" t="s">
        <v>507</v>
      </c>
      <c r="AR70" s="80" t="s">
        <v>394</v>
      </c>
      <c r="AS70" s="81" t="s">
        <v>433</v>
      </c>
      <c r="AT70" s="80" t="s">
        <v>435</v>
      </c>
      <c r="AU70" s="80" t="s">
        <v>395</v>
      </c>
      <c r="AV70" s="82">
        <v>0</v>
      </c>
      <c r="AW70" s="80" t="s">
        <v>434</v>
      </c>
    </row>
    <row r="71" spans="1:49" x14ac:dyDescent="0.25">
      <c r="A71" s="75" t="s">
        <v>380</v>
      </c>
      <c r="B71" s="76">
        <v>96</v>
      </c>
      <c r="C71" s="76">
        <v>781</v>
      </c>
      <c r="D71" s="76">
        <v>0</v>
      </c>
      <c r="E71" s="85">
        <v>45961</v>
      </c>
      <c r="F71" s="76">
        <v>614</v>
      </c>
      <c r="G71" s="75" t="s">
        <v>568</v>
      </c>
      <c r="H71" s="75" t="s">
        <v>525</v>
      </c>
      <c r="I71" s="75" t="s">
        <v>569</v>
      </c>
      <c r="J71" s="75" t="s">
        <v>400</v>
      </c>
      <c r="K71" s="68">
        <v>2000</v>
      </c>
      <c r="L71" s="86"/>
      <c r="M71" s="68">
        <v>2000</v>
      </c>
      <c r="N71" s="85"/>
      <c r="O71" s="85">
        <v>46041</v>
      </c>
      <c r="P71" s="75" t="s">
        <v>414</v>
      </c>
      <c r="Q71" s="76">
        <v>8</v>
      </c>
      <c r="R71" s="76">
        <v>10</v>
      </c>
      <c r="S71" s="75" t="s">
        <v>243</v>
      </c>
      <c r="T71" s="75" t="s">
        <v>381</v>
      </c>
      <c r="U71" s="75" t="s">
        <v>415</v>
      </c>
      <c r="V71" s="75" t="s">
        <v>416</v>
      </c>
      <c r="W71" s="75" t="s">
        <v>570</v>
      </c>
      <c r="X71" s="75" t="s">
        <v>571</v>
      </c>
      <c r="Y71" s="76">
        <v>5</v>
      </c>
      <c r="Z71" s="75" t="s">
        <v>419</v>
      </c>
      <c r="AA71" s="76">
        <v>870</v>
      </c>
      <c r="AB71" s="75" t="s">
        <v>420</v>
      </c>
      <c r="AC71" s="76">
        <v>235</v>
      </c>
      <c r="AD71" s="76">
        <v>5</v>
      </c>
      <c r="AE71" s="75" t="s">
        <v>383</v>
      </c>
      <c r="AF71" s="76">
        <v>1</v>
      </c>
      <c r="AG71" s="75" t="s">
        <v>418</v>
      </c>
      <c r="AH71" s="76">
        <v>70</v>
      </c>
      <c r="AJ71" s="77" t="s">
        <v>572</v>
      </c>
      <c r="AK71" s="87"/>
      <c r="AL71" s="78" t="s">
        <v>367</v>
      </c>
      <c r="AM71" s="79">
        <v>1</v>
      </c>
      <c r="AN71" s="78"/>
      <c r="AO71" s="78"/>
      <c r="AP71" s="79"/>
      <c r="AQ71" s="80" t="s">
        <v>576</v>
      </c>
      <c r="AR71" s="80" t="s">
        <v>394</v>
      </c>
      <c r="AS71" s="81" t="s">
        <v>433</v>
      </c>
      <c r="AT71" s="80" t="s">
        <v>534</v>
      </c>
      <c r="AU71" s="80" t="s">
        <v>395</v>
      </c>
      <c r="AV71" s="82">
        <v>0</v>
      </c>
      <c r="AW71" s="80" t="s">
        <v>434</v>
      </c>
    </row>
    <row r="72" spans="1:49" x14ac:dyDescent="0.25">
      <c r="A72" s="75" t="s">
        <v>380</v>
      </c>
      <c r="B72" s="76">
        <v>97</v>
      </c>
      <c r="C72" s="76">
        <v>816</v>
      </c>
      <c r="D72" s="76">
        <v>0</v>
      </c>
      <c r="E72" s="85">
        <v>45978</v>
      </c>
      <c r="F72" s="76">
        <v>614</v>
      </c>
      <c r="G72" s="75" t="s">
        <v>568</v>
      </c>
      <c r="H72" s="75" t="s">
        <v>809</v>
      </c>
      <c r="I72" s="75" t="s">
        <v>810</v>
      </c>
      <c r="J72" s="75" t="s">
        <v>811</v>
      </c>
      <c r="K72" s="68">
        <v>10000</v>
      </c>
      <c r="L72" s="86"/>
      <c r="M72" s="68">
        <v>10000</v>
      </c>
      <c r="N72" s="85"/>
      <c r="O72" s="85">
        <v>46029</v>
      </c>
      <c r="P72" s="75" t="s">
        <v>31</v>
      </c>
      <c r="Q72" s="76"/>
      <c r="R72" s="76"/>
      <c r="S72" s="75" t="s">
        <v>362</v>
      </c>
      <c r="T72" s="75" t="s">
        <v>381</v>
      </c>
      <c r="U72" s="75" t="s">
        <v>415</v>
      </c>
      <c r="V72" s="75" t="s">
        <v>416</v>
      </c>
      <c r="W72" s="75" t="s">
        <v>570</v>
      </c>
      <c r="X72" s="75" t="s">
        <v>571</v>
      </c>
      <c r="Y72" s="76">
        <v>6</v>
      </c>
      <c r="Z72" s="75" t="s">
        <v>36</v>
      </c>
      <c r="AA72" s="76">
        <v>379</v>
      </c>
      <c r="AB72" s="75" t="s">
        <v>812</v>
      </c>
      <c r="AC72" s="76">
        <v>295</v>
      </c>
      <c r="AD72" s="76">
        <v>6</v>
      </c>
      <c r="AE72" s="75" t="s">
        <v>382</v>
      </c>
      <c r="AF72" s="76">
        <v>1</v>
      </c>
      <c r="AG72" s="75" t="s">
        <v>418</v>
      </c>
      <c r="AH72" s="76">
        <v>2</v>
      </c>
      <c r="AJ72" s="77" t="s">
        <v>813</v>
      </c>
      <c r="AK72" s="87"/>
      <c r="AL72" s="78" t="s">
        <v>367</v>
      </c>
      <c r="AM72" s="79">
        <v>1</v>
      </c>
      <c r="AN72" s="78"/>
      <c r="AO72" s="78"/>
      <c r="AP72" s="79"/>
      <c r="AQ72" s="80" t="s">
        <v>856</v>
      </c>
      <c r="AR72" s="80" t="s">
        <v>394</v>
      </c>
      <c r="AS72" s="81" t="s">
        <v>398</v>
      </c>
      <c r="AT72" s="80" t="s">
        <v>435</v>
      </c>
      <c r="AU72" s="80" t="s">
        <v>395</v>
      </c>
      <c r="AV72" s="82">
        <v>0</v>
      </c>
      <c r="AW72" s="80" t="s">
        <v>399</v>
      </c>
    </row>
    <row r="73" spans="1:49" x14ac:dyDescent="0.25">
      <c r="A73" s="75" t="s">
        <v>380</v>
      </c>
      <c r="B73" s="76">
        <v>98</v>
      </c>
      <c r="C73" s="76">
        <v>826</v>
      </c>
      <c r="D73" s="76">
        <v>0</v>
      </c>
      <c r="E73" s="85">
        <v>45979</v>
      </c>
      <c r="F73" s="76">
        <v>614</v>
      </c>
      <c r="G73" s="75" t="s">
        <v>568</v>
      </c>
      <c r="H73" s="75" t="s">
        <v>525</v>
      </c>
      <c r="I73" s="75" t="s">
        <v>569</v>
      </c>
      <c r="J73" s="75" t="s">
        <v>400</v>
      </c>
      <c r="K73" s="68">
        <v>4000</v>
      </c>
      <c r="L73" s="86"/>
      <c r="M73" s="68">
        <v>4000</v>
      </c>
      <c r="N73" s="85"/>
      <c r="O73" s="85">
        <v>46063</v>
      </c>
      <c r="P73" s="75" t="s">
        <v>31</v>
      </c>
      <c r="Q73" s="76">
        <v>8</v>
      </c>
      <c r="R73" s="76">
        <v>10</v>
      </c>
      <c r="S73" s="75" t="s">
        <v>243</v>
      </c>
      <c r="T73" s="75" t="s">
        <v>381</v>
      </c>
      <c r="U73" s="75" t="s">
        <v>415</v>
      </c>
      <c r="V73" s="75" t="s">
        <v>416</v>
      </c>
      <c r="W73" s="75" t="s">
        <v>570</v>
      </c>
      <c r="X73" s="75" t="s">
        <v>571</v>
      </c>
      <c r="Y73" s="76">
        <v>5</v>
      </c>
      <c r="Z73" s="75" t="s">
        <v>419</v>
      </c>
      <c r="AA73" s="76">
        <v>870</v>
      </c>
      <c r="AB73" s="75" t="s">
        <v>420</v>
      </c>
      <c r="AC73" s="76">
        <v>235</v>
      </c>
      <c r="AD73" s="76">
        <v>5</v>
      </c>
      <c r="AE73" s="75" t="s">
        <v>383</v>
      </c>
      <c r="AF73" s="76">
        <v>1</v>
      </c>
      <c r="AG73" s="75" t="s">
        <v>418</v>
      </c>
      <c r="AH73" s="76">
        <v>2</v>
      </c>
      <c r="AJ73" s="77" t="s">
        <v>814</v>
      </c>
      <c r="AK73" s="87"/>
      <c r="AL73" s="78" t="s">
        <v>367</v>
      </c>
      <c r="AM73" s="79">
        <v>1</v>
      </c>
      <c r="AN73" s="78"/>
      <c r="AO73" s="78"/>
      <c r="AP73" s="79"/>
      <c r="AQ73" s="80" t="s">
        <v>857</v>
      </c>
      <c r="AR73" s="80" t="s">
        <v>394</v>
      </c>
      <c r="AS73" s="81" t="s">
        <v>433</v>
      </c>
      <c r="AT73" s="80" t="s">
        <v>534</v>
      </c>
      <c r="AU73" s="80" t="s">
        <v>395</v>
      </c>
      <c r="AV73" s="82">
        <v>0</v>
      </c>
      <c r="AW73" s="80" t="s">
        <v>434</v>
      </c>
    </row>
    <row r="74" spans="1:49" x14ac:dyDescent="0.25">
      <c r="A74" s="75" t="s">
        <v>380</v>
      </c>
      <c r="B74" s="76">
        <v>100</v>
      </c>
      <c r="C74" s="76">
        <v>788</v>
      </c>
      <c r="D74" s="76">
        <v>0</v>
      </c>
      <c r="E74" s="85">
        <v>45965</v>
      </c>
      <c r="F74" s="76">
        <v>1126</v>
      </c>
      <c r="G74" s="75" t="s">
        <v>464</v>
      </c>
      <c r="H74" s="75" t="s">
        <v>585</v>
      </c>
      <c r="I74" s="75" t="s">
        <v>586</v>
      </c>
      <c r="J74" s="75" t="s">
        <v>587</v>
      </c>
      <c r="K74" s="68">
        <v>1440</v>
      </c>
      <c r="L74" s="86"/>
      <c r="M74" s="68">
        <v>1440</v>
      </c>
      <c r="N74" s="85"/>
      <c r="O74" s="85">
        <v>46002</v>
      </c>
      <c r="P74" s="75" t="s">
        <v>414</v>
      </c>
      <c r="Q74" s="76">
        <v>4</v>
      </c>
      <c r="R74" s="76">
        <v>8</v>
      </c>
      <c r="S74" s="75" t="s">
        <v>46</v>
      </c>
      <c r="T74" s="75" t="s">
        <v>381</v>
      </c>
      <c r="U74" s="75" t="s">
        <v>415</v>
      </c>
      <c r="V74" s="75" t="s">
        <v>416</v>
      </c>
      <c r="W74" s="75" t="s">
        <v>464</v>
      </c>
      <c r="X74" s="75" t="s">
        <v>465</v>
      </c>
      <c r="Y74" s="76">
        <v>6</v>
      </c>
      <c r="Z74" s="75" t="s">
        <v>36</v>
      </c>
      <c r="AA74" s="76">
        <v>347</v>
      </c>
      <c r="AB74" s="75" t="s">
        <v>588</v>
      </c>
      <c r="AC74" s="76">
        <v>295</v>
      </c>
      <c r="AD74" s="76">
        <v>6</v>
      </c>
      <c r="AE74" s="75" t="s">
        <v>382</v>
      </c>
      <c r="AF74" s="76">
        <v>7</v>
      </c>
      <c r="AG74" s="75" t="s">
        <v>482</v>
      </c>
      <c r="AH74" s="76">
        <v>70</v>
      </c>
      <c r="AJ74" s="77" t="s">
        <v>616</v>
      </c>
      <c r="AK74" s="87"/>
      <c r="AL74" s="78" t="s">
        <v>368</v>
      </c>
      <c r="AM74" s="79">
        <v>0</v>
      </c>
      <c r="AN74" s="78"/>
      <c r="AO74" s="78"/>
      <c r="AP74" s="79"/>
      <c r="AQ74" s="80" t="s">
        <v>619</v>
      </c>
      <c r="AR74" s="80" t="s">
        <v>394</v>
      </c>
      <c r="AS74" s="81" t="s">
        <v>398</v>
      </c>
      <c r="AT74" s="80" t="s">
        <v>437</v>
      </c>
      <c r="AU74" s="80" t="s">
        <v>395</v>
      </c>
      <c r="AV74" s="82">
        <v>0</v>
      </c>
      <c r="AW74" s="80" t="s">
        <v>399</v>
      </c>
    </row>
    <row r="75" spans="1:49" x14ac:dyDescent="0.25">
      <c r="A75" s="75" t="s">
        <v>380</v>
      </c>
      <c r="B75" s="76">
        <v>101</v>
      </c>
      <c r="C75" s="76">
        <v>788</v>
      </c>
      <c r="D75" s="76">
        <v>0</v>
      </c>
      <c r="E75" s="85">
        <v>45965</v>
      </c>
      <c r="F75" s="76">
        <v>1126</v>
      </c>
      <c r="G75" s="75" t="s">
        <v>464</v>
      </c>
      <c r="H75" s="75" t="s">
        <v>589</v>
      </c>
      <c r="I75" s="75" t="s">
        <v>590</v>
      </c>
      <c r="J75" s="75" t="s">
        <v>591</v>
      </c>
      <c r="K75" s="68">
        <v>0.5</v>
      </c>
      <c r="L75" s="86"/>
      <c r="M75" s="68">
        <v>0.5</v>
      </c>
      <c r="N75" s="85"/>
      <c r="O75" s="85">
        <v>46002</v>
      </c>
      <c r="P75" s="75" t="s">
        <v>414</v>
      </c>
      <c r="Q75" s="76">
        <v>4</v>
      </c>
      <c r="R75" s="76">
        <v>8</v>
      </c>
      <c r="S75" s="75" t="s">
        <v>466</v>
      </c>
      <c r="T75" s="75" t="s">
        <v>381</v>
      </c>
      <c r="U75" s="75" t="s">
        <v>415</v>
      </c>
      <c r="V75" s="75" t="s">
        <v>416</v>
      </c>
      <c r="W75" s="75" t="s">
        <v>464</v>
      </c>
      <c r="X75" s="75" t="s">
        <v>465</v>
      </c>
      <c r="Y75" s="76">
        <v>6</v>
      </c>
      <c r="Z75" s="75" t="s">
        <v>36</v>
      </c>
      <c r="AA75" s="76">
        <v>347</v>
      </c>
      <c r="AB75" s="75" t="s">
        <v>588</v>
      </c>
      <c r="AC75" s="76">
        <v>295</v>
      </c>
      <c r="AD75" s="76">
        <v>6</v>
      </c>
      <c r="AE75" s="75" t="s">
        <v>382</v>
      </c>
      <c r="AF75" s="76">
        <v>7</v>
      </c>
      <c r="AG75" s="75" t="s">
        <v>482</v>
      </c>
      <c r="AH75" s="76">
        <v>70</v>
      </c>
      <c r="AJ75" s="77" t="s">
        <v>616</v>
      </c>
      <c r="AK75" s="87"/>
      <c r="AL75" s="78" t="s">
        <v>368</v>
      </c>
      <c r="AM75" s="79">
        <v>0</v>
      </c>
      <c r="AN75" s="78"/>
      <c r="AO75" s="78"/>
      <c r="AP75" s="79"/>
      <c r="AQ75" s="80" t="s">
        <v>619</v>
      </c>
      <c r="AR75" s="80" t="s">
        <v>394</v>
      </c>
      <c r="AS75" s="81" t="s">
        <v>398</v>
      </c>
      <c r="AT75" s="80" t="s">
        <v>410</v>
      </c>
      <c r="AU75" s="80" t="s">
        <v>395</v>
      </c>
      <c r="AV75" s="82">
        <v>0</v>
      </c>
      <c r="AW75" s="80" t="s">
        <v>399</v>
      </c>
    </row>
    <row r="76" spans="1:49" x14ac:dyDescent="0.25">
      <c r="A76" s="75" t="s">
        <v>380</v>
      </c>
      <c r="B76" s="76">
        <v>102</v>
      </c>
      <c r="C76" s="76">
        <v>570</v>
      </c>
      <c r="D76" s="76">
        <v>800</v>
      </c>
      <c r="E76" s="85">
        <v>45978</v>
      </c>
      <c r="F76" s="76">
        <v>1126</v>
      </c>
      <c r="G76" s="75" t="s">
        <v>464</v>
      </c>
      <c r="H76" s="75" t="s">
        <v>815</v>
      </c>
      <c r="I76" s="75" t="s">
        <v>816</v>
      </c>
      <c r="J76" s="75" t="s">
        <v>817</v>
      </c>
      <c r="K76" s="68">
        <v>10000</v>
      </c>
      <c r="L76" s="86"/>
      <c r="M76" s="68">
        <v>10000</v>
      </c>
      <c r="N76" s="85"/>
      <c r="O76" s="85">
        <v>46003</v>
      </c>
      <c r="P76" s="75" t="s">
        <v>30</v>
      </c>
      <c r="Q76" s="76">
        <v>4</v>
      </c>
      <c r="R76" s="76">
        <v>8</v>
      </c>
      <c r="S76" s="75" t="s">
        <v>57</v>
      </c>
      <c r="T76" s="75" t="s">
        <v>381</v>
      </c>
      <c r="U76" s="75" t="s">
        <v>415</v>
      </c>
      <c r="V76" s="75" t="s">
        <v>416</v>
      </c>
      <c r="W76" s="75" t="s">
        <v>464</v>
      </c>
      <c r="X76" s="75" t="s">
        <v>465</v>
      </c>
      <c r="Y76" s="76">
        <v>6</v>
      </c>
      <c r="Z76" s="75" t="s">
        <v>36</v>
      </c>
      <c r="AA76" s="76">
        <v>348</v>
      </c>
      <c r="AB76" s="75" t="s">
        <v>818</v>
      </c>
      <c r="AC76" s="76">
        <v>295</v>
      </c>
      <c r="AD76" s="76">
        <v>6</v>
      </c>
      <c r="AE76" s="75" t="s">
        <v>382</v>
      </c>
      <c r="AF76" s="76">
        <v>1</v>
      </c>
      <c r="AG76" s="75" t="s">
        <v>418</v>
      </c>
      <c r="AH76" s="76">
        <v>1</v>
      </c>
      <c r="AJ76" s="77" t="s">
        <v>819</v>
      </c>
      <c r="AK76" s="87">
        <v>45974</v>
      </c>
      <c r="AL76" s="78" t="s">
        <v>368</v>
      </c>
      <c r="AM76" s="79">
        <v>0</v>
      </c>
      <c r="AN76" s="78" t="s">
        <v>347</v>
      </c>
      <c r="AO76" s="78" t="s">
        <v>334</v>
      </c>
      <c r="AP76" s="79">
        <v>13</v>
      </c>
      <c r="AQ76" s="80" t="s">
        <v>858</v>
      </c>
      <c r="AR76" s="80" t="s">
        <v>396</v>
      </c>
      <c r="AS76" s="81" t="s">
        <v>398</v>
      </c>
      <c r="AT76" s="80" t="s">
        <v>431</v>
      </c>
      <c r="AU76" s="80" t="s">
        <v>395</v>
      </c>
      <c r="AV76" s="82">
        <v>0</v>
      </c>
      <c r="AW76" s="80" t="s">
        <v>399</v>
      </c>
    </row>
    <row r="77" spans="1:49" x14ac:dyDescent="0.25">
      <c r="A77" s="75" t="s">
        <v>380</v>
      </c>
      <c r="B77" s="76">
        <v>103</v>
      </c>
      <c r="C77" s="76">
        <v>570</v>
      </c>
      <c r="D77" s="76">
        <v>800</v>
      </c>
      <c r="E77" s="85">
        <v>45978</v>
      </c>
      <c r="F77" s="76">
        <v>1126</v>
      </c>
      <c r="G77" s="75" t="s">
        <v>464</v>
      </c>
      <c r="H77" s="75" t="s">
        <v>820</v>
      </c>
      <c r="I77" s="75" t="s">
        <v>821</v>
      </c>
      <c r="J77" s="75" t="s">
        <v>822</v>
      </c>
      <c r="K77" s="68">
        <v>0.5</v>
      </c>
      <c r="L77" s="86"/>
      <c r="M77" s="68">
        <v>0.5</v>
      </c>
      <c r="N77" s="85"/>
      <c r="O77" s="85">
        <v>46003</v>
      </c>
      <c r="P77" s="75" t="s">
        <v>30</v>
      </c>
      <c r="Q77" s="76">
        <v>4</v>
      </c>
      <c r="R77" s="76">
        <v>8</v>
      </c>
      <c r="S77" s="75" t="s">
        <v>466</v>
      </c>
      <c r="T77" s="75" t="s">
        <v>381</v>
      </c>
      <c r="U77" s="75" t="s">
        <v>415</v>
      </c>
      <c r="V77" s="75" t="s">
        <v>416</v>
      </c>
      <c r="W77" s="75" t="s">
        <v>464</v>
      </c>
      <c r="X77" s="75" t="s">
        <v>465</v>
      </c>
      <c r="Y77" s="76">
        <v>6</v>
      </c>
      <c r="Z77" s="75" t="s">
        <v>36</v>
      </c>
      <c r="AA77" s="76">
        <v>348</v>
      </c>
      <c r="AB77" s="75" t="s">
        <v>818</v>
      </c>
      <c r="AC77" s="76">
        <v>295</v>
      </c>
      <c r="AD77" s="76">
        <v>6</v>
      </c>
      <c r="AE77" s="75" t="s">
        <v>382</v>
      </c>
      <c r="AF77" s="76">
        <v>1</v>
      </c>
      <c r="AG77" s="75" t="s">
        <v>418</v>
      </c>
      <c r="AH77" s="76">
        <v>1</v>
      </c>
      <c r="AJ77" s="77" t="s">
        <v>819</v>
      </c>
      <c r="AK77" s="87">
        <v>45974</v>
      </c>
      <c r="AL77" s="78" t="s">
        <v>368</v>
      </c>
      <c r="AM77" s="79">
        <v>0</v>
      </c>
      <c r="AN77" s="78" t="s">
        <v>347</v>
      </c>
      <c r="AO77" s="78" t="s">
        <v>334</v>
      </c>
      <c r="AP77" s="79">
        <v>13</v>
      </c>
      <c r="AQ77" s="80" t="s">
        <v>858</v>
      </c>
      <c r="AR77" s="80" t="s">
        <v>396</v>
      </c>
      <c r="AS77" s="81" t="s">
        <v>398</v>
      </c>
      <c r="AT77" s="80" t="s">
        <v>410</v>
      </c>
      <c r="AU77" s="80" t="s">
        <v>395</v>
      </c>
      <c r="AV77" s="82">
        <v>0</v>
      </c>
      <c r="AW77" s="80" t="s">
        <v>399</v>
      </c>
    </row>
    <row r="78" spans="1:49" x14ac:dyDescent="0.25">
      <c r="A78" s="75" t="s">
        <v>380</v>
      </c>
      <c r="B78" s="76">
        <v>104</v>
      </c>
      <c r="C78" s="76">
        <v>793</v>
      </c>
      <c r="D78" s="76">
        <v>0</v>
      </c>
      <c r="E78" s="85">
        <v>45967</v>
      </c>
      <c r="F78" s="76">
        <v>1134</v>
      </c>
      <c r="G78" s="75" t="s">
        <v>401</v>
      </c>
      <c r="H78" s="75" t="s">
        <v>402</v>
      </c>
      <c r="I78" s="75" t="s">
        <v>402</v>
      </c>
      <c r="J78" s="75" t="s">
        <v>403</v>
      </c>
      <c r="K78" s="68">
        <v>1200</v>
      </c>
      <c r="L78" s="86"/>
      <c r="M78" s="68">
        <v>1200</v>
      </c>
      <c r="N78" s="85"/>
      <c r="O78" s="85">
        <v>46045</v>
      </c>
      <c r="P78" s="75" t="s">
        <v>637</v>
      </c>
      <c r="Q78" s="76">
        <v>8</v>
      </c>
      <c r="R78" s="76">
        <v>10</v>
      </c>
      <c r="S78" s="75" t="s">
        <v>421</v>
      </c>
      <c r="T78" s="75" t="s">
        <v>381</v>
      </c>
      <c r="U78" s="75" t="s">
        <v>415</v>
      </c>
      <c r="V78" s="75" t="s">
        <v>416</v>
      </c>
      <c r="W78" s="75" t="s">
        <v>430</v>
      </c>
      <c r="X78" s="75" t="s">
        <v>404</v>
      </c>
      <c r="Y78" s="76">
        <v>4</v>
      </c>
      <c r="Z78" s="75" t="s">
        <v>422</v>
      </c>
      <c r="AA78" s="76">
        <v>988</v>
      </c>
      <c r="AB78" s="75" t="s">
        <v>423</v>
      </c>
      <c r="AC78" s="76">
        <v>45</v>
      </c>
      <c r="AD78" s="76">
        <v>4</v>
      </c>
      <c r="AE78" s="75" t="s">
        <v>384</v>
      </c>
      <c r="AF78" s="76">
        <v>1</v>
      </c>
      <c r="AG78" s="75" t="s">
        <v>418</v>
      </c>
      <c r="AH78" s="76">
        <v>23</v>
      </c>
      <c r="AJ78" s="77" t="s">
        <v>638</v>
      </c>
      <c r="AK78" s="87"/>
      <c r="AL78" s="78" t="s">
        <v>367</v>
      </c>
      <c r="AM78" s="79">
        <v>1</v>
      </c>
      <c r="AN78" s="78"/>
      <c r="AO78" s="78"/>
      <c r="AP78" s="79"/>
      <c r="AQ78" s="80" t="s">
        <v>649</v>
      </c>
      <c r="AR78" s="80" t="s">
        <v>394</v>
      </c>
      <c r="AS78" s="81" t="s">
        <v>398</v>
      </c>
      <c r="AT78" s="80" t="s">
        <v>410</v>
      </c>
      <c r="AU78" s="80" t="s">
        <v>395</v>
      </c>
      <c r="AV78" s="82">
        <v>0</v>
      </c>
      <c r="AW78" s="80" t="s">
        <v>399</v>
      </c>
    </row>
    <row r="79" spans="1:49" x14ac:dyDescent="0.25">
      <c r="A79" s="75" t="s">
        <v>380</v>
      </c>
      <c r="B79" s="76">
        <v>105</v>
      </c>
      <c r="C79" s="76">
        <v>475</v>
      </c>
      <c r="D79" s="76">
        <v>800</v>
      </c>
      <c r="E79" s="85">
        <v>45905</v>
      </c>
      <c r="F79" s="76">
        <v>1134</v>
      </c>
      <c r="G79" s="75" t="s">
        <v>401</v>
      </c>
      <c r="H79" s="75" t="s">
        <v>402</v>
      </c>
      <c r="I79" s="75" t="s">
        <v>402</v>
      </c>
      <c r="J79" s="75" t="s">
        <v>403</v>
      </c>
      <c r="K79" s="68">
        <v>1200</v>
      </c>
      <c r="L79" s="86"/>
      <c r="M79" s="68">
        <v>1200</v>
      </c>
      <c r="N79" s="85">
        <v>46037</v>
      </c>
      <c r="O79" s="85">
        <v>46045</v>
      </c>
      <c r="P79" s="75" t="s">
        <v>61</v>
      </c>
      <c r="Q79" s="76">
        <v>8</v>
      </c>
      <c r="R79" s="76">
        <v>10</v>
      </c>
      <c r="S79" s="75" t="s">
        <v>421</v>
      </c>
      <c r="T79" s="75" t="s">
        <v>381</v>
      </c>
      <c r="U79" s="75" t="s">
        <v>415</v>
      </c>
      <c r="V79" s="75" t="s">
        <v>416</v>
      </c>
      <c r="W79" s="75" t="s">
        <v>430</v>
      </c>
      <c r="X79" s="75" t="s">
        <v>404</v>
      </c>
      <c r="Y79" s="76">
        <v>4</v>
      </c>
      <c r="Z79" s="75" t="s">
        <v>422</v>
      </c>
      <c r="AA79" s="76">
        <v>988</v>
      </c>
      <c r="AB79" s="75" t="s">
        <v>423</v>
      </c>
      <c r="AC79" s="76">
        <v>45</v>
      </c>
      <c r="AD79" s="76">
        <v>4</v>
      </c>
      <c r="AE79" s="75" t="s">
        <v>384</v>
      </c>
      <c r="AF79" s="76">
        <v>1</v>
      </c>
      <c r="AG79" s="75" t="s">
        <v>418</v>
      </c>
      <c r="AH79" s="76">
        <v>6</v>
      </c>
      <c r="AJ79" s="77" t="s">
        <v>438</v>
      </c>
      <c r="AK79" s="87">
        <v>45910</v>
      </c>
      <c r="AL79" s="78" t="s">
        <v>367</v>
      </c>
      <c r="AM79" s="79">
        <v>1</v>
      </c>
      <c r="AN79" s="78"/>
      <c r="AO79" s="78"/>
      <c r="AP79" s="79"/>
      <c r="AQ79" s="80" t="s">
        <v>439</v>
      </c>
      <c r="AR79" s="80" t="s">
        <v>396</v>
      </c>
      <c r="AS79" s="81" t="s">
        <v>398</v>
      </c>
      <c r="AT79" s="80" t="s">
        <v>410</v>
      </c>
      <c r="AU79" s="80" t="s">
        <v>348</v>
      </c>
      <c r="AV79" s="82">
        <v>3</v>
      </c>
      <c r="AW79" s="80" t="s">
        <v>436</v>
      </c>
    </row>
    <row r="80" spans="1:49" x14ac:dyDescent="0.25">
      <c r="A80" s="75" t="s">
        <v>380</v>
      </c>
      <c r="B80" s="76">
        <v>108</v>
      </c>
      <c r="C80" s="76">
        <v>827</v>
      </c>
      <c r="D80" s="76">
        <v>0</v>
      </c>
      <c r="E80" s="85">
        <v>45979</v>
      </c>
      <c r="F80" s="76">
        <v>1156</v>
      </c>
      <c r="G80" s="75" t="s">
        <v>823</v>
      </c>
      <c r="H80" s="75" t="s">
        <v>824</v>
      </c>
      <c r="I80" s="75" t="s">
        <v>825</v>
      </c>
      <c r="J80" s="75" t="s">
        <v>826</v>
      </c>
      <c r="K80" s="68">
        <v>1500</v>
      </c>
      <c r="L80" s="86"/>
      <c r="M80" s="68">
        <v>1500</v>
      </c>
      <c r="N80" s="85"/>
      <c r="O80" s="85">
        <v>46063</v>
      </c>
      <c r="P80" s="75" t="s">
        <v>45</v>
      </c>
      <c r="Q80" s="76">
        <v>8</v>
      </c>
      <c r="R80" s="76">
        <v>10</v>
      </c>
      <c r="S80" s="75" t="s">
        <v>47</v>
      </c>
      <c r="T80" s="75" t="s">
        <v>381</v>
      </c>
      <c r="U80" s="75" t="s">
        <v>415</v>
      </c>
      <c r="V80" s="75" t="s">
        <v>416</v>
      </c>
      <c r="W80" s="75" t="s">
        <v>827</v>
      </c>
      <c r="X80" s="75" t="s">
        <v>828</v>
      </c>
      <c r="Y80" s="76">
        <v>4</v>
      </c>
      <c r="Z80" s="75" t="s">
        <v>419</v>
      </c>
      <c r="AA80" s="76">
        <v>745</v>
      </c>
      <c r="AB80" s="75" t="s">
        <v>691</v>
      </c>
      <c r="AC80" s="76">
        <v>235</v>
      </c>
      <c r="AD80" s="76">
        <v>4</v>
      </c>
      <c r="AE80" s="75" t="s">
        <v>384</v>
      </c>
      <c r="AF80" s="76">
        <v>1</v>
      </c>
      <c r="AG80" s="75" t="s">
        <v>418</v>
      </c>
      <c r="AH80" s="76">
        <v>10</v>
      </c>
      <c r="AJ80" s="77" t="s">
        <v>829</v>
      </c>
      <c r="AK80" s="87"/>
      <c r="AL80" s="78" t="s">
        <v>367</v>
      </c>
      <c r="AM80" s="79">
        <v>1</v>
      </c>
      <c r="AN80" s="78"/>
      <c r="AO80" s="78"/>
      <c r="AP80" s="79"/>
      <c r="AQ80" s="80" t="s">
        <v>859</v>
      </c>
      <c r="AR80" s="80" t="s">
        <v>394</v>
      </c>
      <c r="AS80" s="81" t="s">
        <v>398</v>
      </c>
      <c r="AT80" s="80" t="s">
        <v>431</v>
      </c>
      <c r="AU80" s="80" t="s">
        <v>395</v>
      </c>
      <c r="AV80" s="82">
        <v>0</v>
      </c>
      <c r="AW80" s="80" t="s">
        <v>399</v>
      </c>
    </row>
    <row r="81" spans="1:49" x14ac:dyDescent="0.25">
      <c r="A81" s="75" t="s">
        <v>380</v>
      </c>
      <c r="B81" s="76">
        <v>109</v>
      </c>
      <c r="C81" s="76">
        <v>830</v>
      </c>
      <c r="D81" s="76">
        <v>0</v>
      </c>
      <c r="E81" s="85">
        <v>45979</v>
      </c>
      <c r="F81" s="76">
        <v>1156</v>
      </c>
      <c r="G81" s="75" t="s">
        <v>823</v>
      </c>
      <c r="H81" s="75" t="s">
        <v>830</v>
      </c>
      <c r="I81" s="75" t="s">
        <v>830</v>
      </c>
      <c r="J81" s="75" t="s">
        <v>831</v>
      </c>
      <c r="K81" s="68">
        <v>1000</v>
      </c>
      <c r="L81" s="86"/>
      <c r="M81" s="68">
        <v>1000</v>
      </c>
      <c r="N81" s="85"/>
      <c r="O81" s="85">
        <v>46234</v>
      </c>
      <c r="P81" s="75" t="s">
        <v>45</v>
      </c>
      <c r="Q81" s="76">
        <v>8</v>
      </c>
      <c r="R81" s="76">
        <v>10</v>
      </c>
      <c r="S81" s="75" t="s">
        <v>47</v>
      </c>
      <c r="T81" s="75" t="s">
        <v>381</v>
      </c>
      <c r="U81" s="75" t="s">
        <v>415</v>
      </c>
      <c r="V81" s="75" t="s">
        <v>416</v>
      </c>
      <c r="W81" s="75" t="s">
        <v>827</v>
      </c>
      <c r="X81" s="75" t="s">
        <v>828</v>
      </c>
      <c r="Y81" s="76">
        <v>5</v>
      </c>
      <c r="Z81" s="75" t="s">
        <v>419</v>
      </c>
      <c r="AA81" s="76">
        <v>550</v>
      </c>
      <c r="AB81" s="75" t="s">
        <v>462</v>
      </c>
      <c r="AC81" s="76">
        <v>235</v>
      </c>
      <c r="AD81" s="76">
        <v>5</v>
      </c>
      <c r="AE81" s="75" t="s">
        <v>383</v>
      </c>
      <c r="AF81" s="76">
        <v>1</v>
      </c>
      <c r="AG81" s="75" t="s">
        <v>418</v>
      </c>
      <c r="AH81" s="76">
        <v>10</v>
      </c>
      <c r="AJ81" s="77" t="s">
        <v>832</v>
      </c>
      <c r="AK81" s="87"/>
      <c r="AL81" s="78" t="s">
        <v>367</v>
      </c>
      <c r="AM81" s="79">
        <v>1</v>
      </c>
      <c r="AN81" s="78"/>
      <c r="AO81" s="78"/>
      <c r="AP81" s="79"/>
      <c r="AQ81" s="80" t="s">
        <v>860</v>
      </c>
      <c r="AR81" s="80" t="s">
        <v>394</v>
      </c>
      <c r="AS81" s="81" t="s">
        <v>433</v>
      </c>
      <c r="AT81" s="80" t="s">
        <v>431</v>
      </c>
      <c r="AU81" s="80" t="s">
        <v>395</v>
      </c>
      <c r="AV81" s="82">
        <v>0</v>
      </c>
      <c r="AW81" s="80" t="s">
        <v>434</v>
      </c>
    </row>
    <row r="82" spans="1:49" x14ac:dyDescent="0.25">
      <c r="A82" s="75" t="s">
        <v>380</v>
      </c>
      <c r="B82" s="76">
        <v>117</v>
      </c>
      <c r="C82" s="76">
        <v>571</v>
      </c>
      <c r="D82" s="76">
        <v>800</v>
      </c>
      <c r="E82" s="85">
        <v>45978</v>
      </c>
      <c r="F82" s="76">
        <v>1210</v>
      </c>
      <c r="G82" s="75" t="s">
        <v>833</v>
      </c>
      <c r="H82" s="75" t="s">
        <v>835</v>
      </c>
      <c r="I82" s="75" t="s">
        <v>836</v>
      </c>
      <c r="J82" s="75" t="s">
        <v>837</v>
      </c>
      <c r="K82" s="68">
        <v>275</v>
      </c>
      <c r="L82" s="86"/>
      <c r="M82" s="68">
        <v>275</v>
      </c>
      <c r="N82" s="85"/>
      <c r="O82" s="85">
        <v>46010</v>
      </c>
      <c r="P82" s="75" t="s">
        <v>30</v>
      </c>
      <c r="Q82" s="76">
        <v>8</v>
      </c>
      <c r="R82" s="76">
        <v>10</v>
      </c>
      <c r="S82" s="75" t="s">
        <v>64</v>
      </c>
      <c r="T82" s="75" t="s">
        <v>381</v>
      </c>
      <c r="U82" s="75" t="s">
        <v>415</v>
      </c>
      <c r="V82" s="75" t="s">
        <v>416</v>
      </c>
      <c r="W82" s="75" t="s">
        <v>834</v>
      </c>
      <c r="X82" s="75" t="s">
        <v>838</v>
      </c>
      <c r="Y82" s="76">
        <v>5</v>
      </c>
      <c r="Z82" s="75" t="s">
        <v>419</v>
      </c>
      <c r="AA82" s="76">
        <v>870</v>
      </c>
      <c r="AB82" s="75" t="s">
        <v>420</v>
      </c>
      <c r="AC82" s="76">
        <v>235</v>
      </c>
      <c r="AD82" s="76">
        <v>5</v>
      </c>
      <c r="AE82" s="75" t="s">
        <v>383</v>
      </c>
      <c r="AF82" s="76">
        <v>1</v>
      </c>
      <c r="AG82" s="75" t="s">
        <v>418</v>
      </c>
      <c r="AH82" s="76">
        <v>1</v>
      </c>
      <c r="AJ82" s="77" t="s">
        <v>839</v>
      </c>
      <c r="AK82" s="87">
        <v>45596</v>
      </c>
      <c r="AL82" s="78" t="s">
        <v>366</v>
      </c>
      <c r="AM82" s="79">
        <v>1</v>
      </c>
      <c r="AN82" s="78" t="s">
        <v>347</v>
      </c>
      <c r="AO82" s="78" t="s">
        <v>334</v>
      </c>
      <c r="AP82" s="79">
        <v>5</v>
      </c>
      <c r="AQ82" s="80" t="s">
        <v>861</v>
      </c>
      <c r="AR82" s="80" t="s">
        <v>396</v>
      </c>
      <c r="AS82" s="81" t="s">
        <v>433</v>
      </c>
      <c r="AT82" s="80" t="s">
        <v>862</v>
      </c>
      <c r="AU82" s="80" t="s">
        <v>395</v>
      </c>
      <c r="AV82" s="82">
        <v>0</v>
      </c>
      <c r="AW82" s="80" t="s">
        <v>434</v>
      </c>
    </row>
    <row r="83" spans="1:49" x14ac:dyDescent="0.25">
      <c r="A83" s="75" t="s">
        <v>380</v>
      </c>
      <c r="B83" s="76">
        <v>118</v>
      </c>
      <c r="C83" s="76">
        <v>804</v>
      </c>
      <c r="D83" s="76">
        <v>0</v>
      </c>
      <c r="E83" s="85">
        <v>45975</v>
      </c>
      <c r="F83" s="76">
        <v>1224</v>
      </c>
      <c r="G83" s="75" t="s">
        <v>573</v>
      </c>
      <c r="H83" s="75" t="s">
        <v>738</v>
      </c>
      <c r="I83" s="75" t="s">
        <v>739</v>
      </c>
      <c r="J83" s="75" t="s">
        <v>740</v>
      </c>
      <c r="K83" s="68">
        <v>3000</v>
      </c>
      <c r="L83" s="86"/>
      <c r="M83" s="68">
        <v>3000</v>
      </c>
      <c r="N83" s="85"/>
      <c r="O83" s="85">
        <v>46006</v>
      </c>
      <c r="P83" s="75" t="s">
        <v>30</v>
      </c>
      <c r="Q83" s="76">
        <v>8</v>
      </c>
      <c r="R83" s="76">
        <v>10</v>
      </c>
      <c r="S83" s="75" t="s">
        <v>47</v>
      </c>
      <c r="T83" s="75" t="s">
        <v>381</v>
      </c>
      <c r="U83" s="75" t="s">
        <v>415</v>
      </c>
      <c r="V83" s="75" t="s">
        <v>416</v>
      </c>
      <c r="W83" s="75" t="s">
        <v>574</v>
      </c>
      <c r="X83" s="75" t="s">
        <v>575</v>
      </c>
      <c r="Y83" s="76">
        <v>4</v>
      </c>
      <c r="Z83" s="75" t="s">
        <v>419</v>
      </c>
      <c r="AA83" s="76">
        <v>115</v>
      </c>
      <c r="AB83" s="75" t="s">
        <v>741</v>
      </c>
      <c r="AC83" s="76">
        <v>235</v>
      </c>
      <c r="AD83" s="76">
        <v>4</v>
      </c>
      <c r="AE83" s="75" t="s">
        <v>384</v>
      </c>
      <c r="AF83" s="76">
        <v>1</v>
      </c>
      <c r="AG83" s="75" t="s">
        <v>418</v>
      </c>
      <c r="AH83" s="76">
        <v>1</v>
      </c>
      <c r="AJ83" s="77" t="s">
        <v>742</v>
      </c>
      <c r="AK83" s="87"/>
      <c r="AL83" s="78" t="s">
        <v>366</v>
      </c>
      <c r="AM83" s="79">
        <v>1</v>
      </c>
      <c r="AN83" s="78" t="s">
        <v>347</v>
      </c>
      <c r="AO83" s="78" t="s">
        <v>334</v>
      </c>
      <c r="AP83" s="79">
        <v>5</v>
      </c>
      <c r="AQ83" s="80" t="s">
        <v>775</v>
      </c>
      <c r="AR83" s="80" t="s">
        <v>394</v>
      </c>
      <c r="AS83" s="81" t="s">
        <v>398</v>
      </c>
      <c r="AT83" s="80" t="s">
        <v>431</v>
      </c>
      <c r="AU83" s="80" t="s">
        <v>395</v>
      </c>
      <c r="AV83" s="82">
        <v>0</v>
      </c>
      <c r="AW83" s="80" t="s">
        <v>399</v>
      </c>
    </row>
    <row r="84" spans="1:49" x14ac:dyDescent="0.25">
      <c r="A84" s="75" t="s">
        <v>380</v>
      </c>
      <c r="B84" s="76">
        <v>119</v>
      </c>
      <c r="C84" s="76">
        <v>805</v>
      </c>
      <c r="D84" s="76">
        <v>0</v>
      </c>
      <c r="E84" s="85">
        <v>45975</v>
      </c>
      <c r="F84" s="76">
        <v>1224</v>
      </c>
      <c r="G84" s="75" t="s">
        <v>573</v>
      </c>
      <c r="H84" s="75" t="s">
        <v>743</v>
      </c>
      <c r="I84" s="75" t="s">
        <v>744</v>
      </c>
      <c r="J84" s="75" t="s">
        <v>745</v>
      </c>
      <c r="K84" s="68">
        <v>1000</v>
      </c>
      <c r="L84" s="86"/>
      <c r="M84" s="68">
        <v>1000</v>
      </c>
      <c r="N84" s="85"/>
      <c r="O84" s="85">
        <v>46009</v>
      </c>
      <c r="P84" s="75" t="s">
        <v>30</v>
      </c>
      <c r="Q84" s="76">
        <v>8</v>
      </c>
      <c r="R84" s="76">
        <v>10</v>
      </c>
      <c r="S84" s="75" t="s">
        <v>47</v>
      </c>
      <c r="T84" s="75" t="s">
        <v>381</v>
      </c>
      <c r="U84" s="75" t="s">
        <v>415</v>
      </c>
      <c r="V84" s="75" t="s">
        <v>416</v>
      </c>
      <c r="W84" s="75" t="s">
        <v>574</v>
      </c>
      <c r="X84" s="75" t="s">
        <v>575</v>
      </c>
      <c r="Y84" s="76">
        <v>5</v>
      </c>
      <c r="Z84" s="75" t="s">
        <v>419</v>
      </c>
      <c r="AA84" s="76">
        <v>213</v>
      </c>
      <c r="AB84" s="75" t="s">
        <v>33</v>
      </c>
      <c r="AC84" s="76">
        <v>235</v>
      </c>
      <c r="AD84" s="76">
        <v>5</v>
      </c>
      <c r="AE84" s="75" t="s">
        <v>383</v>
      </c>
      <c r="AF84" s="76">
        <v>1</v>
      </c>
      <c r="AG84" s="75" t="s">
        <v>418</v>
      </c>
      <c r="AH84" s="76">
        <v>1</v>
      </c>
      <c r="AJ84" s="77" t="s">
        <v>746</v>
      </c>
      <c r="AK84" s="87"/>
      <c r="AL84" s="78" t="s">
        <v>366</v>
      </c>
      <c r="AM84" s="79">
        <v>1</v>
      </c>
      <c r="AN84" s="78" t="s">
        <v>347</v>
      </c>
      <c r="AO84" s="78" t="s">
        <v>334</v>
      </c>
      <c r="AP84" s="79">
        <v>5</v>
      </c>
      <c r="AQ84" s="80" t="s">
        <v>776</v>
      </c>
      <c r="AR84" s="80" t="s">
        <v>394</v>
      </c>
      <c r="AS84" s="81" t="s">
        <v>433</v>
      </c>
      <c r="AT84" s="80" t="s">
        <v>431</v>
      </c>
      <c r="AU84" s="80" t="s">
        <v>395</v>
      </c>
      <c r="AV84" s="82">
        <v>0</v>
      </c>
      <c r="AW84" s="80" t="s">
        <v>434</v>
      </c>
    </row>
    <row r="85" spans="1:49" x14ac:dyDescent="0.25">
      <c r="A85" s="75" t="s">
        <v>380</v>
      </c>
      <c r="B85" s="76">
        <v>120</v>
      </c>
      <c r="C85" s="76">
        <v>812</v>
      </c>
      <c r="D85" s="76">
        <v>0</v>
      </c>
      <c r="E85" s="85">
        <v>45975</v>
      </c>
      <c r="F85" s="76">
        <v>1224</v>
      </c>
      <c r="G85" s="75" t="s">
        <v>573</v>
      </c>
      <c r="H85" s="75" t="s">
        <v>747</v>
      </c>
      <c r="I85" s="75" t="s">
        <v>748</v>
      </c>
      <c r="J85" s="75" t="s">
        <v>749</v>
      </c>
      <c r="K85" s="68">
        <v>480</v>
      </c>
      <c r="L85" s="86"/>
      <c r="M85" s="68">
        <v>480</v>
      </c>
      <c r="N85" s="85"/>
      <c r="O85" s="85">
        <v>46048</v>
      </c>
      <c r="P85" s="75" t="s">
        <v>31</v>
      </c>
      <c r="Q85" s="76">
        <v>8</v>
      </c>
      <c r="R85" s="76">
        <v>10</v>
      </c>
      <c r="S85" s="75" t="s">
        <v>63</v>
      </c>
      <c r="T85" s="75" t="s">
        <v>381</v>
      </c>
      <c r="U85" s="75" t="s">
        <v>415</v>
      </c>
      <c r="V85" s="75" t="s">
        <v>416</v>
      </c>
      <c r="W85" s="75" t="s">
        <v>574</v>
      </c>
      <c r="X85" s="75" t="s">
        <v>575</v>
      </c>
      <c r="Y85" s="76">
        <v>5</v>
      </c>
      <c r="Z85" s="75" t="s">
        <v>419</v>
      </c>
      <c r="AA85" s="76">
        <v>213</v>
      </c>
      <c r="AB85" s="75" t="s">
        <v>33</v>
      </c>
      <c r="AC85" s="76">
        <v>235</v>
      </c>
      <c r="AD85" s="76">
        <v>5</v>
      </c>
      <c r="AE85" s="75" t="s">
        <v>383</v>
      </c>
      <c r="AF85" s="76">
        <v>1</v>
      </c>
      <c r="AG85" s="75" t="s">
        <v>418</v>
      </c>
      <c r="AH85" s="76">
        <v>2</v>
      </c>
      <c r="AJ85" s="77" t="s">
        <v>750</v>
      </c>
      <c r="AK85" s="87"/>
      <c r="AL85" s="78" t="s">
        <v>366</v>
      </c>
      <c r="AM85" s="79">
        <v>1</v>
      </c>
      <c r="AN85" s="78"/>
      <c r="AO85" s="78"/>
      <c r="AP85" s="79"/>
      <c r="AQ85" s="80" t="s">
        <v>777</v>
      </c>
      <c r="AR85" s="80" t="s">
        <v>394</v>
      </c>
      <c r="AS85" s="81" t="s">
        <v>433</v>
      </c>
      <c r="AT85" s="80" t="s">
        <v>431</v>
      </c>
      <c r="AU85" s="80" t="s">
        <v>395</v>
      </c>
      <c r="AV85" s="82">
        <v>0</v>
      </c>
      <c r="AW85" s="80" t="s">
        <v>434</v>
      </c>
    </row>
    <row r="86" spans="1:49" x14ac:dyDescent="0.25">
      <c r="A86" s="75" t="s">
        <v>380</v>
      </c>
      <c r="B86" s="76">
        <v>121</v>
      </c>
      <c r="C86" s="76">
        <v>824</v>
      </c>
      <c r="D86" s="76">
        <v>0</v>
      </c>
      <c r="E86" s="85">
        <v>45979</v>
      </c>
      <c r="F86" s="76">
        <v>1224</v>
      </c>
      <c r="G86" s="75" t="s">
        <v>573</v>
      </c>
      <c r="H86" s="75" t="s">
        <v>738</v>
      </c>
      <c r="I86" s="75" t="s">
        <v>739</v>
      </c>
      <c r="J86" s="75" t="s">
        <v>740</v>
      </c>
      <c r="K86" s="68">
        <v>3500</v>
      </c>
      <c r="L86" s="86"/>
      <c r="M86" s="68">
        <v>3500</v>
      </c>
      <c r="N86" s="85"/>
      <c r="O86" s="85">
        <v>46050</v>
      </c>
      <c r="P86" s="75" t="s">
        <v>30</v>
      </c>
      <c r="Q86" s="76">
        <v>8</v>
      </c>
      <c r="R86" s="76">
        <v>10</v>
      </c>
      <c r="S86" s="75" t="s">
        <v>47</v>
      </c>
      <c r="T86" s="75" t="s">
        <v>381</v>
      </c>
      <c r="U86" s="75" t="s">
        <v>415</v>
      </c>
      <c r="V86" s="75" t="s">
        <v>416</v>
      </c>
      <c r="W86" s="75" t="s">
        <v>574</v>
      </c>
      <c r="X86" s="75" t="s">
        <v>575</v>
      </c>
      <c r="Y86" s="76">
        <v>4</v>
      </c>
      <c r="Z86" s="75" t="s">
        <v>419</v>
      </c>
      <c r="AA86" s="76">
        <v>115</v>
      </c>
      <c r="AB86" s="75" t="s">
        <v>741</v>
      </c>
      <c r="AC86" s="76">
        <v>235</v>
      </c>
      <c r="AD86" s="76">
        <v>4</v>
      </c>
      <c r="AE86" s="75" t="s">
        <v>384</v>
      </c>
      <c r="AF86" s="76">
        <v>1</v>
      </c>
      <c r="AG86" s="75" t="s">
        <v>418</v>
      </c>
      <c r="AH86" s="76">
        <v>1</v>
      </c>
      <c r="AJ86" s="77" t="s">
        <v>840</v>
      </c>
      <c r="AK86" s="87"/>
      <c r="AL86" s="78" t="s">
        <v>366</v>
      </c>
      <c r="AM86" s="79">
        <v>1</v>
      </c>
      <c r="AN86" s="78" t="s">
        <v>347</v>
      </c>
      <c r="AO86" s="78" t="s">
        <v>334</v>
      </c>
      <c r="AP86" s="79">
        <v>5</v>
      </c>
      <c r="AQ86" s="80" t="s">
        <v>863</v>
      </c>
      <c r="AR86" s="80" t="s">
        <v>394</v>
      </c>
      <c r="AS86" s="81" t="s">
        <v>398</v>
      </c>
      <c r="AT86" s="80" t="s">
        <v>431</v>
      </c>
      <c r="AU86" s="80" t="s">
        <v>395</v>
      </c>
      <c r="AV86" s="82">
        <v>0</v>
      </c>
      <c r="AW86" s="80" t="s">
        <v>399</v>
      </c>
    </row>
    <row r="87" spans="1:49" x14ac:dyDescent="0.25">
      <c r="A87" s="75" t="s">
        <v>380</v>
      </c>
      <c r="B87" s="76">
        <v>127</v>
      </c>
      <c r="C87" s="76">
        <v>808</v>
      </c>
      <c r="D87" s="76">
        <v>0</v>
      </c>
      <c r="E87" s="85">
        <v>45975</v>
      </c>
      <c r="F87" s="76">
        <v>1232</v>
      </c>
      <c r="G87" s="75" t="s">
        <v>751</v>
      </c>
      <c r="H87" s="75" t="s">
        <v>752</v>
      </c>
      <c r="I87" s="75" t="s">
        <v>753</v>
      </c>
      <c r="J87" s="75" t="s">
        <v>754</v>
      </c>
      <c r="K87" s="68">
        <v>640</v>
      </c>
      <c r="L87" s="86"/>
      <c r="M87" s="68">
        <v>640</v>
      </c>
      <c r="N87" s="85"/>
      <c r="O87" s="85">
        <v>46030</v>
      </c>
      <c r="P87" s="75" t="s">
        <v>31</v>
      </c>
      <c r="Q87" s="76">
        <v>8</v>
      </c>
      <c r="R87" s="76">
        <v>10</v>
      </c>
      <c r="S87" s="75" t="s">
        <v>37</v>
      </c>
      <c r="T87" s="75" t="s">
        <v>381</v>
      </c>
      <c r="U87" s="75" t="s">
        <v>415</v>
      </c>
      <c r="V87" s="75" t="s">
        <v>416</v>
      </c>
      <c r="W87" s="75" t="s">
        <v>755</v>
      </c>
      <c r="X87" s="75" t="s">
        <v>756</v>
      </c>
      <c r="Y87" s="76">
        <v>5</v>
      </c>
      <c r="Z87" s="75" t="s">
        <v>669</v>
      </c>
      <c r="AA87" s="76">
        <v>216</v>
      </c>
      <c r="AB87" s="75" t="s">
        <v>721</v>
      </c>
      <c r="AC87" s="76">
        <v>125</v>
      </c>
      <c r="AD87" s="76">
        <v>5</v>
      </c>
      <c r="AE87" s="75" t="s">
        <v>383</v>
      </c>
      <c r="AF87" s="76">
        <v>1</v>
      </c>
      <c r="AG87" s="75" t="s">
        <v>418</v>
      </c>
      <c r="AH87" s="76">
        <v>2</v>
      </c>
      <c r="AJ87" s="77" t="s">
        <v>757</v>
      </c>
      <c r="AK87" s="87"/>
      <c r="AL87" s="78" t="s">
        <v>366</v>
      </c>
      <c r="AM87" s="79">
        <v>1</v>
      </c>
      <c r="AN87" s="78"/>
      <c r="AO87" s="78"/>
      <c r="AP87" s="79"/>
      <c r="AQ87" s="80" t="s">
        <v>778</v>
      </c>
      <c r="AR87" s="80" t="s">
        <v>394</v>
      </c>
      <c r="AS87" s="81" t="s">
        <v>433</v>
      </c>
      <c r="AT87" s="80" t="s">
        <v>431</v>
      </c>
      <c r="AU87" s="80" t="s">
        <v>395</v>
      </c>
      <c r="AV87" s="82">
        <v>0</v>
      </c>
      <c r="AW87" s="80" t="s">
        <v>434</v>
      </c>
    </row>
    <row r="88" spans="1:49" x14ac:dyDescent="0.25">
      <c r="A88" s="75" t="s">
        <v>380</v>
      </c>
      <c r="B88" s="76">
        <v>128</v>
      </c>
      <c r="C88" s="76">
        <v>809</v>
      </c>
      <c r="D88" s="76">
        <v>0</v>
      </c>
      <c r="E88" s="85">
        <v>45975</v>
      </c>
      <c r="F88" s="76">
        <v>1232</v>
      </c>
      <c r="G88" s="75" t="s">
        <v>751</v>
      </c>
      <c r="H88" s="75" t="s">
        <v>735</v>
      </c>
      <c r="I88" s="75" t="s">
        <v>758</v>
      </c>
      <c r="J88" s="75" t="s">
        <v>759</v>
      </c>
      <c r="K88" s="68">
        <v>640</v>
      </c>
      <c r="L88" s="86"/>
      <c r="M88" s="68">
        <v>640</v>
      </c>
      <c r="N88" s="85"/>
      <c r="O88" s="85">
        <v>46030</v>
      </c>
      <c r="P88" s="75" t="s">
        <v>31</v>
      </c>
      <c r="Q88" s="76">
        <v>8</v>
      </c>
      <c r="R88" s="76">
        <v>10</v>
      </c>
      <c r="S88" s="75" t="s">
        <v>37</v>
      </c>
      <c r="T88" s="75" t="s">
        <v>381</v>
      </c>
      <c r="U88" s="75" t="s">
        <v>415</v>
      </c>
      <c r="V88" s="75" t="s">
        <v>416</v>
      </c>
      <c r="W88" s="75" t="s">
        <v>755</v>
      </c>
      <c r="X88" s="75" t="s">
        <v>756</v>
      </c>
      <c r="Y88" s="76">
        <v>5</v>
      </c>
      <c r="Z88" s="75" t="s">
        <v>669</v>
      </c>
      <c r="AA88" s="76">
        <v>745</v>
      </c>
      <c r="AB88" s="75" t="s">
        <v>691</v>
      </c>
      <c r="AC88" s="76">
        <v>125</v>
      </c>
      <c r="AD88" s="76">
        <v>5</v>
      </c>
      <c r="AE88" s="75" t="s">
        <v>383</v>
      </c>
      <c r="AF88" s="76">
        <v>1</v>
      </c>
      <c r="AG88" s="75" t="s">
        <v>418</v>
      </c>
      <c r="AH88" s="76">
        <v>2</v>
      </c>
      <c r="AJ88" s="77" t="s">
        <v>757</v>
      </c>
      <c r="AK88" s="87"/>
      <c r="AL88" s="78" t="s">
        <v>366</v>
      </c>
      <c r="AM88" s="79">
        <v>1</v>
      </c>
      <c r="AN88" s="78"/>
      <c r="AO88" s="78"/>
      <c r="AP88" s="79"/>
      <c r="AQ88" s="80" t="s">
        <v>779</v>
      </c>
      <c r="AR88" s="80" t="s">
        <v>394</v>
      </c>
      <c r="AS88" s="81" t="s">
        <v>433</v>
      </c>
      <c r="AT88" s="80" t="s">
        <v>431</v>
      </c>
      <c r="AU88" s="80" t="s">
        <v>395</v>
      </c>
      <c r="AV88" s="82">
        <v>0</v>
      </c>
      <c r="AW88" s="80" t="s">
        <v>434</v>
      </c>
    </row>
    <row r="89" spans="1:49" x14ac:dyDescent="0.25">
      <c r="A89" s="75" t="s">
        <v>380</v>
      </c>
      <c r="B89" s="76">
        <v>129</v>
      </c>
      <c r="C89" s="76">
        <v>722</v>
      </c>
      <c r="D89" s="76">
        <v>0</v>
      </c>
      <c r="E89" s="85">
        <v>45923</v>
      </c>
      <c r="F89" s="76">
        <v>2382</v>
      </c>
      <c r="G89" s="75" t="s">
        <v>451</v>
      </c>
      <c r="H89" s="75" t="s">
        <v>452</v>
      </c>
      <c r="I89" s="75" t="s">
        <v>452</v>
      </c>
      <c r="J89" s="75" t="s">
        <v>400</v>
      </c>
      <c r="K89" s="68">
        <v>500</v>
      </c>
      <c r="L89" s="86"/>
      <c r="M89" s="68">
        <v>500</v>
      </c>
      <c r="N89" s="85">
        <v>45992</v>
      </c>
      <c r="O89" s="85">
        <v>46017</v>
      </c>
      <c r="P89" s="75" t="s">
        <v>31</v>
      </c>
      <c r="Q89" s="76">
        <v>8</v>
      </c>
      <c r="R89" s="76">
        <v>10</v>
      </c>
      <c r="S89" s="75" t="s">
        <v>47</v>
      </c>
      <c r="T89" s="75" t="s">
        <v>381</v>
      </c>
      <c r="U89" s="75" t="s">
        <v>415</v>
      </c>
      <c r="V89" s="75" t="s">
        <v>416</v>
      </c>
      <c r="W89" s="75" t="s">
        <v>453</v>
      </c>
      <c r="X89" s="75" t="s">
        <v>454</v>
      </c>
      <c r="Y89" s="76">
        <v>5</v>
      </c>
      <c r="Z89" s="75" t="s">
        <v>419</v>
      </c>
      <c r="AA89" s="76">
        <v>870</v>
      </c>
      <c r="AB89" s="75" t="s">
        <v>420</v>
      </c>
      <c r="AC89" s="76">
        <v>235</v>
      </c>
      <c r="AD89" s="76">
        <v>5</v>
      </c>
      <c r="AE89" s="75" t="s">
        <v>383</v>
      </c>
      <c r="AF89" s="76">
        <v>1</v>
      </c>
      <c r="AG89" s="75" t="s">
        <v>418</v>
      </c>
      <c r="AH89" s="76">
        <v>2</v>
      </c>
      <c r="AJ89" s="77" t="s">
        <v>455</v>
      </c>
      <c r="AK89" s="87"/>
      <c r="AL89" s="78" t="s">
        <v>367</v>
      </c>
      <c r="AM89" s="79">
        <v>1</v>
      </c>
      <c r="AN89" s="78"/>
      <c r="AO89" s="78"/>
      <c r="AP89" s="79"/>
      <c r="AQ89" s="80" t="s">
        <v>456</v>
      </c>
      <c r="AR89" s="80" t="s">
        <v>394</v>
      </c>
      <c r="AS89" s="81" t="s">
        <v>433</v>
      </c>
      <c r="AT89" s="80" t="s">
        <v>431</v>
      </c>
      <c r="AU89" s="80" t="s">
        <v>336</v>
      </c>
      <c r="AV89" s="82">
        <v>49</v>
      </c>
      <c r="AW89" s="80" t="s">
        <v>436</v>
      </c>
    </row>
    <row r="90" spans="1:49" x14ac:dyDescent="0.25">
      <c r="A90" s="75" t="s">
        <v>380</v>
      </c>
      <c r="B90" s="76">
        <v>130</v>
      </c>
      <c r="C90" s="76">
        <v>815</v>
      </c>
      <c r="D90" s="76">
        <v>0</v>
      </c>
      <c r="E90" s="85">
        <v>45978</v>
      </c>
      <c r="F90" s="76">
        <v>2383</v>
      </c>
      <c r="G90" s="75" t="s">
        <v>483</v>
      </c>
      <c r="H90" s="75" t="s">
        <v>841</v>
      </c>
      <c r="I90" s="75" t="s">
        <v>842</v>
      </c>
      <c r="J90" s="75" t="s">
        <v>843</v>
      </c>
      <c r="K90" s="68">
        <v>1500</v>
      </c>
      <c r="L90" s="86"/>
      <c r="M90" s="68">
        <v>1500</v>
      </c>
      <c r="N90" s="85"/>
      <c r="O90" s="85">
        <v>45989</v>
      </c>
      <c r="P90" s="75" t="s">
        <v>31</v>
      </c>
      <c r="Q90" s="76">
        <v>8</v>
      </c>
      <c r="R90" s="76">
        <v>10</v>
      </c>
      <c r="S90" s="75" t="s">
        <v>47</v>
      </c>
      <c r="T90" s="75" t="s">
        <v>381</v>
      </c>
      <c r="U90" s="75" t="s">
        <v>415</v>
      </c>
      <c r="V90" s="75" t="s">
        <v>416</v>
      </c>
      <c r="W90" s="75" t="s">
        <v>483</v>
      </c>
      <c r="X90" s="75" t="s">
        <v>487</v>
      </c>
      <c r="Y90" s="76">
        <v>5</v>
      </c>
      <c r="Z90" s="75" t="s">
        <v>419</v>
      </c>
      <c r="AA90" s="76">
        <v>870</v>
      </c>
      <c r="AB90" s="75" t="s">
        <v>420</v>
      </c>
      <c r="AC90" s="76">
        <v>235</v>
      </c>
      <c r="AD90" s="76">
        <v>5</v>
      </c>
      <c r="AE90" s="75" t="s">
        <v>383</v>
      </c>
      <c r="AF90" s="76">
        <v>1</v>
      </c>
      <c r="AG90" s="75" t="s">
        <v>418</v>
      </c>
      <c r="AH90" s="76">
        <v>2</v>
      </c>
      <c r="AJ90" s="77" t="s">
        <v>844</v>
      </c>
      <c r="AK90" s="87"/>
      <c r="AL90" s="78" t="s">
        <v>366</v>
      </c>
      <c r="AM90" s="79">
        <v>1</v>
      </c>
      <c r="AN90" s="78"/>
      <c r="AO90" s="78"/>
      <c r="AP90" s="79"/>
      <c r="AQ90" s="80" t="s">
        <v>864</v>
      </c>
      <c r="AR90" s="80" t="s">
        <v>394</v>
      </c>
      <c r="AS90" s="81" t="s">
        <v>433</v>
      </c>
      <c r="AT90" s="80" t="s">
        <v>431</v>
      </c>
      <c r="AU90" s="80" t="s">
        <v>395</v>
      </c>
      <c r="AV90" s="82">
        <v>0</v>
      </c>
      <c r="AW90" s="80" t="s">
        <v>434</v>
      </c>
    </row>
    <row r="91" spans="1:49" x14ac:dyDescent="0.25">
      <c r="A91" s="75" t="s">
        <v>380</v>
      </c>
      <c r="B91" s="76">
        <v>131</v>
      </c>
      <c r="C91" s="76">
        <v>531</v>
      </c>
      <c r="D91" s="76">
        <v>800</v>
      </c>
      <c r="E91" s="85">
        <v>45945</v>
      </c>
      <c r="F91" s="76">
        <v>2383</v>
      </c>
      <c r="G91" s="75" t="s">
        <v>483</v>
      </c>
      <c r="H91" s="75" t="s">
        <v>484</v>
      </c>
      <c r="I91" s="75" t="s">
        <v>485</v>
      </c>
      <c r="J91" s="75" t="s">
        <v>486</v>
      </c>
      <c r="K91" s="68">
        <v>1000</v>
      </c>
      <c r="L91" s="86"/>
      <c r="M91" s="68">
        <v>1000</v>
      </c>
      <c r="N91" s="85"/>
      <c r="O91" s="85">
        <v>46001</v>
      </c>
      <c r="P91" s="75" t="s">
        <v>31</v>
      </c>
      <c r="Q91" s="76">
        <v>8</v>
      </c>
      <c r="R91" s="76">
        <v>10</v>
      </c>
      <c r="S91" s="75" t="s">
        <v>47</v>
      </c>
      <c r="T91" s="75" t="s">
        <v>381</v>
      </c>
      <c r="U91" s="75" t="s">
        <v>415</v>
      </c>
      <c r="V91" s="75" t="s">
        <v>416</v>
      </c>
      <c r="W91" s="75" t="s">
        <v>483</v>
      </c>
      <c r="X91" s="75" t="s">
        <v>487</v>
      </c>
      <c r="Y91" s="76">
        <v>5</v>
      </c>
      <c r="Z91" s="75" t="s">
        <v>419</v>
      </c>
      <c r="AA91" s="76">
        <v>870</v>
      </c>
      <c r="AB91" s="75" t="s">
        <v>420</v>
      </c>
      <c r="AC91" s="76">
        <v>235</v>
      </c>
      <c r="AD91" s="76">
        <v>5</v>
      </c>
      <c r="AE91" s="75" t="s">
        <v>383</v>
      </c>
      <c r="AF91" s="76">
        <v>1</v>
      </c>
      <c r="AG91" s="75" t="s">
        <v>418</v>
      </c>
      <c r="AH91" s="76">
        <v>2</v>
      </c>
      <c r="AJ91" s="77" t="s">
        <v>488</v>
      </c>
      <c r="AK91" s="87">
        <v>45943</v>
      </c>
      <c r="AL91" s="78" t="s">
        <v>366</v>
      </c>
      <c r="AM91" s="79">
        <v>1</v>
      </c>
      <c r="AN91" s="78"/>
      <c r="AO91" s="78"/>
      <c r="AP91" s="79"/>
      <c r="AQ91" s="80" t="s">
        <v>497</v>
      </c>
      <c r="AR91" s="80" t="s">
        <v>396</v>
      </c>
      <c r="AS91" s="81" t="s">
        <v>433</v>
      </c>
      <c r="AT91" s="80" t="s">
        <v>431</v>
      </c>
      <c r="AU91" s="80" t="s">
        <v>395</v>
      </c>
      <c r="AV91" s="82">
        <v>0</v>
      </c>
      <c r="AW91" s="80" t="s">
        <v>434</v>
      </c>
    </row>
    <row r="92" spans="1:49" x14ac:dyDescent="0.25">
      <c r="A92" s="75" t="s">
        <v>380</v>
      </c>
      <c r="B92" s="76">
        <v>134</v>
      </c>
      <c r="C92" s="76">
        <v>559</v>
      </c>
      <c r="D92" s="76">
        <v>800</v>
      </c>
      <c r="E92" s="85">
        <v>45967</v>
      </c>
      <c r="F92" s="76">
        <v>2452</v>
      </c>
      <c r="G92" s="75" t="s">
        <v>639</v>
      </c>
      <c r="H92" s="75" t="s">
        <v>640</v>
      </c>
      <c r="I92" s="75" t="s">
        <v>641</v>
      </c>
      <c r="J92" s="75" t="s">
        <v>642</v>
      </c>
      <c r="K92" s="68">
        <v>160</v>
      </c>
      <c r="L92" s="86"/>
      <c r="M92" s="68">
        <v>160</v>
      </c>
      <c r="N92" s="85">
        <v>45971</v>
      </c>
      <c r="O92" s="85">
        <v>45981</v>
      </c>
      <c r="P92" s="75"/>
      <c r="Q92" s="76"/>
      <c r="R92" s="76"/>
      <c r="S92" s="75" t="s">
        <v>39</v>
      </c>
      <c r="T92" s="75" t="s">
        <v>381</v>
      </c>
      <c r="U92" s="75" t="s">
        <v>481</v>
      </c>
      <c r="V92" s="75" t="s">
        <v>35</v>
      </c>
      <c r="W92" s="75"/>
      <c r="X92" s="75"/>
      <c r="Y92" s="76">
        <v>5</v>
      </c>
      <c r="Z92" s="75" t="s">
        <v>425</v>
      </c>
      <c r="AA92" s="76">
        <v>208</v>
      </c>
      <c r="AB92" s="75" t="s">
        <v>426</v>
      </c>
      <c r="AC92" s="76">
        <v>120</v>
      </c>
      <c r="AD92" s="76">
        <v>5</v>
      </c>
      <c r="AE92" s="75" t="s">
        <v>383</v>
      </c>
      <c r="AF92" s="76">
        <v>1</v>
      </c>
      <c r="AG92" s="75" t="s">
        <v>418</v>
      </c>
      <c r="AH92" s="76"/>
      <c r="AJ92" s="77" t="s">
        <v>643</v>
      </c>
      <c r="AK92" s="87">
        <v>45964</v>
      </c>
      <c r="AL92" s="78" t="s">
        <v>368</v>
      </c>
      <c r="AM92" s="79">
        <v>0</v>
      </c>
      <c r="AN92" s="78" t="s">
        <v>352</v>
      </c>
      <c r="AO92" s="78"/>
      <c r="AP92" s="79">
        <v>3</v>
      </c>
      <c r="AQ92" s="80" t="s">
        <v>645</v>
      </c>
      <c r="AR92" s="80" t="s">
        <v>396</v>
      </c>
      <c r="AS92" s="81" t="s">
        <v>433</v>
      </c>
      <c r="AT92" s="80" t="s">
        <v>537</v>
      </c>
      <c r="AU92" s="80" t="s">
        <v>336</v>
      </c>
      <c r="AV92" s="82">
        <v>46</v>
      </c>
      <c r="AW92" s="80" t="s">
        <v>436</v>
      </c>
    </row>
    <row r="93" spans="1:49" x14ac:dyDescent="0.25">
      <c r="A93" s="75" t="s">
        <v>380</v>
      </c>
      <c r="B93" s="76">
        <v>135</v>
      </c>
      <c r="C93" s="76">
        <v>560</v>
      </c>
      <c r="D93" s="76">
        <v>800</v>
      </c>
      <c r="E93" s="85">
        <v>45967</v>
      </c>
      <c r="F93" s="76">
        <v>2452</v>
      </c>
      <c r="G93" s="75" t="s">
        <v>639</v>
      </c>
      <c r="H93" s="75" t="s">
        <v>640</v>
      </c>
      <c r="I93" s="75" t="s">
        <v>641</v>
      </c>
      <c r="J93" s="75" t="s">
        <v>642</v>
      </c>
      <c r="K93" s="68">
        <v>3200</v>
      </c>
      <c r="L93" s="86"/>
      <c r="M93" s="68">
        <v>3200</v>
      </c>
      <c r="N93" s="85"/>
      <c r="O93" s="85">
        <v>46027</v>
      </c>
      <c r="P93" s="75"/>
      <c r="Q93" s="76"/>
      <c r="R93" s="76"/>
      <c r="S93" s="75" t="s">
        <v>39</v>
      </c>
      <c r="T93" s="75" t="s">
        <v>381</v>
      </c>
      <c r="U93" s="75" t="s">
        <v>481</v>
      </c>
      <c r="V93" s="75" t="s">
        <v>35</v>
      </c>
      <c r="W93" s="75"/>
      <c r="X93" s="75"/>
      <c r="Y93" s="76">
        <v>5</v>
      </c>
      <c r="Z93" s="75" t="s">
        <v>425</v>
      </c>
      <c r="AA93" s="76">
        <v>208</v>
      </c>
      <c r="AB93" s="75" t="s">
        <v>426</v>
      </c>
      <c r="AC93" s="76">
        <v>120</v>
      </c>
      <c r="AD93" s="76">
        <v>5</v>
      </c>
      <c r="AE93" s="75" t="s">
        <v>383</v>
      </c>
      <c r="AF93" s="76">
        <v>1</v>
      </c>
      <c r="AG93" s="75" t="s">
        <v>418</v>
      </c>
      <c r="AH93" s="76"/>
      <c r="AJ93" s="77" t="s">
        <v>644</v>
      </c>
      <c r="AK93" s="87">
        <v>45964</v>
      </c>
      <c r="AL93" s="78" t="s">
        <v>368</v>
      </c>
      <c r="AM93" s="79">
        <v>0</v>
      </c>
      <c r="AN93" s="78" t="s">
        <v>352</v>
      </c>
      <c r="AO93" s="78"/>
      <c r="AP93" s="79">
        <v>3</v>
      </c>
      <c r="AQ93" s="80" t="s">
        <v>646</v>
      </c>
      <c r="AR93" s="80" t="s">
        <v>396</v>
      </c>
      <c r="AS93" s="81" t="s">
        <v>433</v>
      </c>
      <c r="AT93" s="80" t="s">
        <v>537</v>
      </c>
      <c r="AU93" s="80" t="s">
        <v>395</v>
      </c>
      <c r="AV93" s="82">
        <v>0</v>
      </c>
      <c r="AW93" s="80" t="s">
        <v>434</v>
      </c>
    </row>
    <row r="94" spans="1:49" x14ac:dyDescent="0.25">
      <c r="A94" s="75" t="s">
        <v>380</v>
      </c>
      <c r="B94" s="76">
        <v>137</v>
      </c>
      <c r="C94" s="76">
        <v>803</v>
      </c>
      <c r="D94" s="76">
        <v>0</v>
      </c>
      <c r="E94" s="85">
        <v>45975</v>
      </c>
      <c r="F94" s="76">
        <v>2458</v>
      </c>
      <c r="G94" s="75" t="s">
        <v>760</v>
      </c>
      <c r="H94" s="75" t="s">
        <v>606</v>
      </c>
      <c r="I94" s="75" t="s">
        <v>761</v>
      </c>
      <c r="J94" s="75" t="s">
        <v>762</v>
      </c>
      <c r="K94" s="68">
        <v>640</v>
      </c>
      <c r="L94" s="86"/>
      <c r="M94" s="68">
        <v>640</v>
      </c>
      <c r="N94" s="85"/>
      <c r="O94" s="85">
        <v>45993</v>
      </c>
      <c r="P94" s="75" t="s">
        <v>31</v>
      </c>
      <c r="Q94" s="76">
        <v>8</v>
      </c>
      <c r="R94" s="76">
        <v>10</v>
      </c>
      <c r="S94" s="75" t="s">
        <v>37</v>
      </c>
      <c r="T94" s="75" t="s">
        <v>381</v>
      </c>
      <c r="U94" s="75" t="s">
        <v>415</v>
      </c>
      <c r="V94" s="75" t="s">
        <v>416</v>
      </c>
      <c r="W94" s="75" t="s">
        <v>760</v>
      </c>
      <c r="X94" s="75" t="s">
        <v>763</v>
      </c>
      <c r="Y94" s="76">
        <v>5</v>
      </c>
      <c r="Z94" s="75" t="s">
        <v>425</v>
      </c>
      <c r="AA94" s="76">
        <v>208</v>
      </c>
      <c r="AB94" s="75" t="s">
        <v>426</v>
      </c>
      <c r="AC94" s="76">
        <v>120</v>
      </c>
      <c r="AD94" s="76">
        <v>5</v>
      </c>
      <c r="AE94" s="75" t="s">
        <v>383</v>
      </c>
      <c r="AF94" s="76">
        <v>1</v>
      </c>
      <c r="AG94" s="75" t="s">
        <v>418</v>
      </c>
      <c r="AH94" s="76">
        <v>2</v>
      </c>
      <c r="AJ94" s="77" t="s">
        <v>764</v>
      </c>
      <c r="AK94" s="87"/>
      <c r="AL94" s="78" t="s">
        <v>366</v>
      </c>
      <c r="AM94" s="79">
        <v>1</v>
      </c>
      <c r="AN94" s="78"/>
      <c r="AO94" s="78"/>
      <c r="AP94" s="79"/>
      <c r="AQ94" s="80" t="s">
        <v>780</v>
      </c>
      <c r="AR94" s="80" t="s">
        <v>394</v>
      </c>
      <c r="AS94" s="81" t="s">
        <v>433</v>
      </c>
      <c r="AT94" s="80" t="s">
        <v>431</v>
      </c>
      <c r="AU94" s="80" t="s">
        <v>395</v>
      </c>
      <c r="AV94" s="82">
        <v>0</v>
      </c>
      <c r="AW94" s="80" t="s">
        <v>434</v>
      </c>
    </row>
    <row r="95" spans="1:49" x14ac:dyDescent="0.25">
      <c r="A95" s="75" t="s">
        <v>380</v>
      </c>
      <c r="B95" s="76">
        <v>138</v>
      </c>
      <c r="C95" s="76">
        <v>807</v>
      </c>
      <c r="D95" s="76">
        <v>0</v>
      </c>
      <c r="E95" s="85">
        <v>45975</v>
      </c>
      <c r="F95" s="76">
        <v>2458</v>
      </c>
      <c r="G95" s="75" t="s">
        <v>760</v>
      </c>
      <c r="H95" s="75" t="s">
        <v>606</v>
      </c>
      <c r="I95" s="75" t="s">
        <v>761</v>
      </c>
      <c r="J95" s="75" t="s">
        <v>762</v>
      </c>
      <c r="K95" s="68">
        <v>1240</v>
      </c>
      <c r="L95" s="86"/>
      <c r="M95" s="68">
        <v>1240</v>
      </c>
      <c r="N95" s="85"/>
      <c r="O95" s="85">
        <v>46030</v>
      </c>
      <c r="P95" s="75" t="s">
        <v>30</v>
      </c>
      <c r="Q95" s="76">
        <v>8</v>
      </c>
      <c r="R95" s="76">
        <v>10</v>
      </c>
      <c r="S95" s="75" t="s">
        <v>37</v>
      </c>
      <c r="T95" s="75" t="s">
        <v>381</v>
      </c>
      <c r="U95" s="75" t="s">
        <v>415</v>
      </c>
      <c r="V95" s="75" t="s">
        <v>416</v>
      </c>
      <c r="W95" s="75" t="s">
        <v>760</v>
      </c>
      <c r="X95" s="75" t="s">
        <v>763</v>
      </c>
      <c r="Y95" s="76">
        <v>5</v>
      </c>
      <c r="Z95" s="75" t="s">
        <v>425</v>
      </c>
      <c r="AA95" s="76">
        <v>208</v>
      </c>
      <c r="AB95" s="75" t="s">
        <v>426</v>
      </c>
      <c r="AC95" s="76">
        <v>120</v>
      </c>
      <c r="AD95" s="76">
        <v>5</v>
      </c>
      <c r="AE95" s="75" t="s">
        <v>383</v>
      </c>
      <c r="AF95" s="76">
        <v>1</v>
      </c>
      <c r="AG95" s="75" t="s">
        <v>418</v>
      </c>
      <c r="AH95" s="76">
        <v>1</v>
      </c>
      <c r="AJ95" s="77" t="s">
        <v>765</v>
      </c>
      <c r="AK95" s="87"/>
      <c r="AL95" s="78" t="s">
        <v>366</v>
      </c>
      <c r="AM95" s="79">
        <v>1</v>
      </c>
      <c r="AN95" s="78" t="s">
        <v>347</v>
      </c>
      <c r="AO95" s="78" t="s">
        <v>334</v>
      </c>
      <c r="AP95" s="79">
        <v>5</v>
      </c>
      <c r="AQ95" s="80" t="s">
        <v>781</v>
      </c>
      <c r="AR95" s="80" t="s">
        <v>394</v>
      </c>
      <c r="AS95" s="81" t="s">
        <v>433</v>
      </c>
      <c r="AT95" s="80" t="s">
        <v>431</v>
      </c>
      <c r="AU95" s="80" t="s">
        <v>395</v>
      </c>
      <c r="AV95" s="82">
        <v>0</v>
      </c>
      <c r="AW95" s="80" t="s">
        <v>434</v>
      </c>
    </row>
    <row r="96" spans="1:49" x14ac:dyDescent="0.25">
      <c r="A96" s="75" t="s">
        <v>380</v>
      </c>
      <c r="B96" s="76">
        <v>139</v>
      </c>
      <c r="C96" s="76">
        <v>810</v>
      </c>
      <c r="D96" s="76">
        <v>0</v>
      </c>
      <c r="E96" s="85">
        <v>45975</v>
      </c>
      <c r="F96" s="76">
        <v>2458</v>
      </c>
      <c r="G96" s="75" t="s">
        <v>760</v>
      </c>
      <c r="H96" s="75" t="s">
        <v>452</v>
      </c>
      <c r="I96" s="75" t="s">
        <v>766</v>
      </c>
      <c r="J96" s="75" t="s">
        <v>767</v>
      </c>
      <c r="K96" s="68">
        <v>1500</v>
      </c>
      <c r="L96" s="86"/>
      <c r="M96" s="68">
        <v>1500</v>
      </c>
      <c r="N96" s="85"/>
      <c r="O96" s="85">
        <v>46031</v>
      </c>
      <c r="P96" s="75" t="s">
        <v>30</v>
      </c>
      <c r="Q96" s="76">
        <v>8</v>
      </c>
      <c r="R96" s="76">
        <v>10</v>
      </c>
      <c r="S96" s="75" t="s">
        <v>47</v>
      </c>
      <c r="T96" s="75" t="s">
        <v>381</v>
      </c>
      <c r="U96" s="75" t="s">
        <v>415</v>
      </c>
      <c r="V96" s="75" t="s">
        <v>416</v>
      </c>
      <c r="W96" s="75" t="s">
        <v>760</v>
      </c>
      <c r="X96" s="75" t="s">
        <v>763</v>
      </c>
      <c r="Y96" s="76">
        <v>5</v>
      </c>
      <c r="Z96" s="75" t="s">
        <v>419</v>
      </c>
      <c r="AA96" s="76">
        <v>870</v>
      </c>
      <c r="AB96" s="75" t="s">
        <v>420</v>
      </c>
      <c r="AC96" s="76">
        <v>235</v>
      </c>
      <c r="AD96" s="76">
        <v>5</v>
      </c>
      <c r="AE96" s="75" t="s">
        <v>383</v>
      </c>
      <c r="AF96" s="76">
        <v>1</v>
      </c>
      <c r="AG96" s="75" t="s">
        <v>418</v>
      </c>
      <c r="AH96" s="76">
        <v>1</v>
      </c>
      <c r="AJ96" s="77" t="s">
        <v>768</v>
      </c>
      <c r="AK96" s="87"/>
      <c r="AL96" s="78" t="s">
        <v>366</v>
      </c>
      <c r="AM96" s="79">
        <v>1</v>
      </c>
      <c r="AN96" s="78" t="s">
        <v>347</v>
      </c>
      <c r="AO96" s="78" t="s">
        <v>334</v>
      </c>
      <c r="AP96" s="79">
        <v>5</v>
      </c>
      <c r="AQ96" s="80" t="s">
        <v>782</v>
      </c>
      <c r="AR96" s="80" t="s">
        <v>394</v>
      </c>
      <c r="AS96" s="81" t="s">
        <v>433</v>
      </c>
      <c r="AT96" s="80" t="s">
        <v>431</v>
      </c>
      <c r="AU96" s="80" t="s">
        <v>395</v>
      </c>
      <c r="AV96" s="82">
        <v>0</v>
      </c>
      <c r="AW96" s="80" t="s">
        <v>434</v>
      </c>
    </row>
  </sheetData>
  <autoFilter ref="A1:AW96" xr:uid="{7FF8C9AF-65D0-4046-A5CC-9D6E388517F1}"/>
  <conditionalFormatting sqref="AW2:AW96">
    <cfRule type="expression" dxfId="9" priority="3" stopIfTrue="1">
      <formula>AW2="Data sped. utile INSERITA"</formula>
    </cfRule>
    <cfRule type="expression" dxfId="8" priority="9" stopIfTrue="1">
      <formula>TRUE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985A696C-F9C9-471D-B8DA-B6C16FAC9824}">
            <xm:f>N2&lt;param!$B$2</xm:f>
            <x14:dxf>
              <font>
                <b val="0"/>
                <i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N2:N96</xm:sqref>
        </x14:conditionalFormatting>
        <x14:conditionalFormatting xmlns:xm="http://schemas.microsoft.com/office/excel/2006/main">
          <x14:cfRule type="expression" priority="2" stopIfTrue="1" id="{C1A31F51-6CC0-4E26-8177-4B3AF54208D7}">
            <xm:f>O2&lt;param!$C$2</xm:f>
            <x14:dxf>
              <font>
                <b val="0"/>
                <i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O2:O96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298E-7C7F-47CA-8BFE-FAC6730E0C07}">
  <dimension ref="A1:AY9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.7109375" style="67" bestFit="1" customWidth="1"/>
    <col min="2" max="2" width="8.5703125" style="67" bestFit="1" customWidth="1"/>
    <col min="3" max="3" width="10" style="67" bestFit="1" customWidth="1"/>
    <col min="4" max="4" width="6.85546875" style="67" bestFit="1" customWidth="1"/>
    <col min="5" max="5" width="13.7109375" style="67" bestFit="1" customWidth="1"/>
    <col min="6" max="6" width="7.5703125" style="67" bestFit="1" customWidth="1"/>
    <col min="7" max="7" width="60.140625" style="67" bestFit="1" customWidth="1"/>
    <col min="8" max="8" width="23.140625" style="67" bestFit="1" customWidth="1"/>
    <col min="9" max="9" width="17.5703125" style="67" bestFit="1" customWidth="1"/>
    <col min="10" max="10" width="52.140625" style="67" bestFit="1" customWidth="1"/>
    <col min="11" max="11" width="12.140625" style="68" bestFit="1" customWidth="1"/>
    <col min="12" max="12" width="14.7109375" style="68" bestFit="1" customWidth="1"/>
    <col min="13" max="13" width="14.85546875" style="68" bestFit="1" customWidth="1"/>
    <col min="14" max="14" width="17.5703125" style="69" bestFit="1" customWidth="1"/>
    <col min="15" max="15" width="17.28515625" style="69" bestFit="1" customWidth="1"/>
    <col min="16" max="16" width="26.42578125" style="67" bestFit="1" customWidth="1"/>
    <col min="17" max="17" width="8.5703125" style="67" bestFit="1" customWidth="1"/>
    <col min="18" max="18" width="8.85546875" style="67" bestFit="1" customWidth="1"/>
    <col min="19" max="19" width="8.5703125" style="67" bestFit="1" customWidth="1"/>
    <col min="20" max="20" width="18.42578125" style="67" bestFit="1" customWidth="1"/>
    <col min="21" max="21" width="20.85546875" style="67" bestFit="1" customWidth="1"/>
    <col min="22" max="22" width="14.85546875" style="67" bestFit="1" customWidth="1"/>
    <col min="23" max="23" width="25.28515625" style="67" bestFit="1" customWidth="1"/>
    <col min="24" max="24" width="24.5703125" style="67" bestFit="1" customWidth="1"/>
    <col min="25" max="25" width="10" style="67" bestFit="1" customWidth="1"/>
    <col min="26" max="26" width="21.85546875" style="67" bestFit="1" customWidth="1"/>
    <col min="27" max="27" width="14.28515625" style="67" bestFit="1" customWidth="1"/>
    <col min="28" max="28" width="29.7109375" style="67" bestFit="1" customWidth="1"/>
    <col min="29" max="29" width="10.7109375" style="67" bestFit="1" customWidth="1"/>
    <col min="30" max="30" width="10" style="67" bestFit="1" customWidth="1"/>
    <col min="31" max="31" width="27.85546875" style="67" bestFit="1" customWidth="1"/>
    <col min="32" max="32" width="12.42578125" style="67" bestFit="1" customWidth="1"/>
    <col min="33" max="33" width="17.5703125" style="67" bestFit="1" customWidth="1"/>
    <col min="34" max="34" width="16.85546875" style="67" bestFit="1" customWidth="1"/>
    <col min="35" max="35" width="11.28515625" style="4" bestFit="1" customWidth="1"/>
    <col min="36" max="36" width="14.140625" style="4" bestFit="1" customWidth="1"/>
    <col min="37" max="37" width="25.7109375" style="4" bestFit="1" customWidth="1"/>
    <col min="38" max="38" width="9.140625" style="70" bestFit="1" customWidth="1"/>
    <col min="39" max="39" width="7" style="70" bestFit="1" customWidth="1"/>
    <col min="40" max="41" width="15.42578125" style="70" bestFit="1" customWidth="1"/>
    <col min="42" max="42" width="7.140625" style="70" bestFit="1" customWidth="1"/>
    <col min="43" max="43" width="12.28515625" style="71" bestFit="1" customWidth="1"/>
    <col min="44" max="44" width="14.7109375" style="71" bestFit="1" customWidth="1"/>
    <col min="45" max="45" width="6.5703125" style="72" bestFit="1" customWidth="1"/>
    <col min="46" max="46" width="12" style="71" bestFit="1" customWidth="1"/>
    <col min="47" max="47" width="9" style="71" bestFit="1" customWidth="1"/>
    <col min="48" max="48" width="15.42578125" style="71" bestFit="1" customWidth="1"/>
    <col min="49" max="49" width="38.28515625" style="71" bestFit="1" customWidth="1"/>
    <col min="50" max="50" width="30.140625" style="71" bestFit="1" customWidth="1"/>
    <col min="51" max="51" width="40.5703125" style="73" bestFit="1" customWidth="1"/>
    <col min="52" max="16384" width="9.140625" style="74"/>
  </cols>
  <sheetData>
    <row r="1" spans="1:51" s="58" customFormat="1" x14ac:dyDescent="0.25">
      <c r="A1" s="61" t="s">
        <v>0</v>
      </c>
      <c r="B1" s="62" t="s">
        <v>1</v>
      </c>
      <c r="C1" s="62" t="s">
        <v>2</v>
      </c>
      <c r="D1" s="62" t="s">
        <v>3</v>
      </c>
      <c r="E1" s="84" t="s">
        <v>4</v>
      </c>
      <c r="F1" s="62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8" t="s">
        <v>10</v>
      </c>
      <c r="L1" s="62" t="s">
        <v>11</v>
      </c>
      <c r="M1" s="58" t="s">
        <v>12</v>
      </c>
      <c r="N1" s="84" t="s">
        <v>13</v>
      </c>
      <c r="O1" s="84" t="s">
        <v>14</v>
      </c>
      <c r="P1" s="61" t="s">
        <v>16</v>
      </c>
      <c r="Q1" s="62" t="s">
        <v>17</v>
      </c>
      <c r="R1" s="62" t="s">
        <v>18</v>
      </c>
      <c r="S1" s="61" t="s">
        <v>19</v>
      </c>
      <c r="T1" s="61" t="s">
        <v>20</v>
      </c>
      <c r="U1" s="61" t="s">
        <v>21</v>
      </c>
      <c r="V1" s="61" t="s">
        <v>22</v>
      </c>
      <c r="W1" s="61" t="s">
        <v>23</v>
      </c>
      <c r="X1" s="61" t="s">
        <v>24</v>
      </c>
      <c r="Y1" s="62" t="s">
        <v>25</v>
      </c>
      <c r="Z1" s="61" t="s">
        <v>327</v>
      </c>
      <c r="AA1" s="62" t="s">
        <v>26</v>
      </c>
      <c r="AB1" s="61" t="s">
        <v>328</v>
      </c>
      <c r="AC1" s="62" t="s">
        <v>27</v>
      </c>
      <c r="AD1" s="62" t="s">
        <v>25</v>
      </c>
      <c r="AE1" s="61" t="s">
        <v>69</v>
      </c>
      <c r="AF1" s="62" t="s">
        <v>70</v>
      </c>
      <c r="AG1" s="61" t="s">
        <v>71</v>
      </c>
      <c r="AH1" s="63" t="s">
        <v>343</v>
      </c>
      <c r="AI1" s="58" t="s">
        <v>389</v>
      </c>
      <c r="AJ1" s="61" t="s">
        <v>15</v>
      </c>
      <c r="AK1" s="84" t="s">
        <v>390</v>
      </c>
      <c r="AL1" s="64" t="s">
        <v>344</v>
      </c>
      <c r="AM1" s="65" t="s">
        <v>358</v>
      </c>
      <c r="AN1" s="64" t="s">
        <v>345</v>
      </c>
      <c r="AO1" s="64" t="s">
        <v>346</v>
      </c>
      <c r="AP1" s="65" t="s">
        <v>332</v>
      </c>
      <c r="AQ1" s="66" t="s">
        <v>72</v>
      </c>
      <c r="AR1" s="66" t="s">
        <v>73</v>
      </c>
      <c r="AS1" s="66" t="s">
        <v>68</v>
      </c>
      <c r="AT1" s="66" t="s">
        <v>329</v>
      </c>
      <c r="AU1" s="66" t="s">
        <v>338</v>
      </c>
      <c r="AV1" s="63" t="s">
        <v>391</v>
      </c>
      <c r="AW1" s="66" t="s">
        <v>356</v>
      </c>
      <c r="AX1" s="66" t="s">
        <v>359</v>
      </c>
      <c r="AY1" s="66" t="s">
        <v>378</v>
      </c>
    </row>
    <row r="2" spans="1:51" x14ac:dyDescent="0.25">
      <c r="A2" s="75" t="s">
        <v>380</v>
      </c>
      <c r="B2" s="76">
        <v>1</v>
      </c>
      <c r="C2" s="76">
        <v>557</v>
      </c>
      <c r="D2" s="76">
        <v>800</v>
      </c>
      <c r="E2" s="85">
        <v>45964</v>
      </c>
      <c r="F2" s="76">
        <v>58</v>
      </c>
      <c r="G2" s="75" t="s">
        <v>578</v>
      </c>
      <c r="H2" s="75" t="s">
        <v>580</v>
      </c>
      <c r="I2" s="75" t="s">
        <v>581</v>
      </c>
      <c r="J2" s="75" t="s">
        <v>582</v>
      </c>
      <c r="K2" s="68">
        <v>6400</v>
      </c>
      <c r="L2" s="86"/>
      <c r="M2" s="68">
        <v>6400</v>
      </c>
      <c r="N2" s="85"/>
      <c r="O2" s="85">
        <v>45991</v>
      </c>
      <c r="P2" s="75" t="s">
        <v>414</v>
      </c>
      <c r="Q2" s="76">
        <v>8</v>
      </c>
      <c r="R2" s="76">
        <v>10</v>
      </c>
      <c r="S2" s="75" t="s">
        <v>37</v>
      </c>
      <c r="T2" s="75" t="s">
        <v>381</v>
      </c>
      <c r="U2" s="75" t="s">
        <v>415</v>
      </c>
      <c r="V2" s="75" t="s">
        <v>416</v>
      </c>
      <c r="W2" s="75" t="s">
        <v>578</v>
      </c>
      <c r="X2" s="75" t="s">
        <v>579</v>
      </c>
      <c r="Y2" s="76">
        <v>5</v>
      </c>
      <c r="Z2" s="75" t="s">
        <v>33</v>
      </c>
      <c r="AA2" s="76">
        <v>978</v>
      </c>
      <c r="AB2" s="75" t="s">
        <v>583</v>
      </c>
      <c r="AC2" s="76">
        <v>180</v>
      </c>
      <c r="AD2" s="76">
        <v>5</v>
      </c>
      <c r="AE2" s="75" t="s">
        <v>383</v>
      </c>
      <c r="AF2" s="76">
        <v>1</v>
      </c>
      <c r="AG2" s="75" t="s">
        <v>418</v>
      </c>
      <c r="AH2" s="76">
        <v>70</v>
      </c>
      <c r="AJ2" s="77" t="s">
        <v>584</v>
      </c>
      <c r="AK2" s="87">
        <v>45981</v>
      </c>
      <c r="AL2" s="78" t="s">
        <v>366</v>
      </c>
      <c r="AM2" s="79">
        <v>1</v>
      </c>
      <c r="AN2" s="78"/>
      <c r="AO2" s="78"/>
      <c r="AP2" s="79"/>
      <c r="AQ2" s="80" t="s">
        <v>592</v>
      </c>
      <c r="AR2" s="80" t="s">
        <v>396</v>
      </c>
      <c r="AS2" s="81" t="s">
        <v>433</v>
      </c>
      <c r="AT2" s="80" t="s">
        <v>431</v>
      </c>
      <c r="AU2" s="80" t="s">
        <v>395</v>
      </c>
      <c r="AV2" s="82">
        <v>0</v>
      </c>
      <c r="AW2" s="80" t="s">
        <v>379</v>
      </c>
      <c r="AX2" s="80" t="s">
        <v>432</v>
      </c>
      <c r="AY2" s="83" t="s">
        <v>387</v>
      </c>
    </row>
    <row r="3" spans="1:51" x14ac:dyDescent="0.25">
      <c r="A3" s="75" t="s">
        <v>380</v>
      </c>
      <c r="B3" s="76">
        <v>2</v>
      </c>
      <c r="C3" s="76">
        <v>802</v>
      </c>
      <c r="D3" s="76">
        <v>0</v>
      </c>
      <c r="E3" s="85">
        <v>45975</v>
      </c>
      <c r="F3" s="76">
        <v>64</v>
      </c>
      <c r="G3" s="75" t="s">
        <v>678</v>
      </c>
      <c r="H3" s="75" t="s">
        <v>718</v>
      </c>
      <c r="I3" s="75" t="s">
        <v>719</v>
      </c>
      <c r="J3" s="75" t="s">
        <v>720</v>
      </c>
      <c r="K3" s="68">
        <v>3072</v>
      </c>
      <c r="L3" s="86"/>
      <c r="M3" s="68">
        <v>3072</v>
      </c>
      <c r="N3" s="85"/>
      <c r="O3" s="85">
        <v>46001</v>
      </c>
      <c r="P3" s="75" t="s">
        <v>414</v>
      </c>
      <c r="Q3" s="76">
        <v>8</v>
      </c>
      <c r="R3" s="76">
        <v>10</v>
      </c>
      <c r="S3" s="75" t="s">
        <v>29</v>
      </c>
      <c r="T3" s="75" t="s">
        <v>381</v>
      </c>
      <c r="U3" s="75" t="s">
        <v>415</v>
      </c>
      <c r="V3" s="75" t="s">
        <v>416</v>
      </c>
      <c r="W3" s="75" t="s">
        <v>678</v>
      </c>
      <c r="X3" s="75" t="s">
        <v>682</v>
      </c>
      <c r="Y3" s="76">
        <v>5</v>
      </c>
      <c r="Z3" s="75" t="s">
        <v>669</v>
      </c>
      <c r="AA3" s="76">
        <v>216</v>
      </c>
      <c r="AB3" s="75" t="s">
        <v>721</v>
      </c>
      <c r="AC3" s="76">
        <v>125</v>
      </c>
      <c r="AD3" s="76">
        <v>5</v>
      </c>
      <c r="AE3" s="75" t="s">
        <v>383</v>
      </c>
      <c r="AF3" s="76">
        <v>1</v>
      </c>
      <c r="AG3" s="75" t="s">
        <v>418</v>
      </c>
      <c r="AH3" s="76">
        <v>70</v>
      </c>
      <c r="AJ3" s="77" t="s">
        <v>722</v>
      </c>
      <c r="AK3" s="87"/>
      <c r="AL3" s="78" t="s">
        <v>366</v>
      </c>
      <c r="AM3" s="79">
        <v>1</v>
      </c>
      <c r="AN3" s="78"/>
      <c r="AO3" s="78"/>
      <c r="AP3" s="79"/>
      <c r="AQ3" s="80" t="s">
        <v>769</v>
      </c>
      <c r="AR3" s="80" t="s">
        <v>394</v>
      </c>
      <c r="AS3" s="81" t="s">
        <v>433</v>
      </c>
      <c r="AT3" s="80" t="s">
        <v>431</v>
      </c>
      <c r="AU3" s="80" t="s">
        <v>395</v>
      </c>
      <c r="AV3" s="82">
        <v>0</v>
      </c>
      <c r="AW3" s="80" t="s">
        <v>379</v>
      </c>
      <c r="AX3" s="80" t="s">
        <v>432</v>
      </c>
      <c r="AY3" s="83" t="s">
        <v>387</v>
      </c>
    </row>
    <row r="4" spans="1:51" x14ac:dyDescent="0.25">
      <c r="A4" s="75" t="s">
        <v>380</v>
      </c>
      <c r="B4" s="76">
        <v>3</v>
      </c>
      <c r="C4" s="76">
        <v>563</v>
      </c>
      <c r="D4" s="76">
        <v>800</v>
      </c>
      <c r="E4" s="85">
        <v>45972</v>
      </c>
      <c r="F4" s="76">
        <v>64</v>
      </c>
      <c r="G4" s="75" t="s">
        <v>678</v>
      </c>
      <c r="H4" s="75" t="s">
        <v>679</v>
      </c>
      <c r="I4" s="75" t="s">
        <v>680</v>
      </c>
      <c r="J4" s="75" t="s">
        <v>681</v>
      </c>
      <c r="K4" s="68">
        <v>1000</v>
      </c>
      <c r="L4" s="86"/>
      <c r="M4" s="68">
        <v>1000</v>
      </c>
      <c r="N4" s="85"/>
      <c r="O4" s="85">
        <v>46001</v>
      </c>
      <c r="P4" s="75" t="s">
        <v>30</v>
      </c>
      <c r="Q4" s="76">
        <v>8</v>
      </c>
      <c r="R4" s="76">
        <v>10</v>
      </c>
      <c r="S4" s="75" t="s">
        <v>47</v>
      </c>
      <c r="T4" s="75" t="s">
        <v>381</v>
      </c>
      <c r="U4" s="75" t="s">
        <v>415</v>
      </c>
      <c r="V4" s="75" t="s">
        <v>416</v>
      </c>
      <c r="W4" s="75" t="s">
        <v>678</v>
      </c>
      <c r="X4" s="75" t="s">
        <v>682</v>
      </c>
      <c r="Y4" s="76">
        <v>5</v>
      </c>
      <c r="Z4" s="75" t="s">
        <v>419</v>
      </c>
      <c r="AA4" s="76">
        <v>213</v>
      </c>
      <c r="AB4" s="75" t="s">
        <v>33</v>
      </c>
      <c r="AC4" s="76">
        <v>235</v>
      </c>
      <c r="AD4" s="76">
        <v>5</v>
      </c>
      <c r="AE4" s="75" t="s">
        <v>383</v>
      </c>
      <c r="AF4" s="76">
        <v>1</v>
      </c>
      <c r="AG4" s="75" t="s">
        <v>418</v>
      </c>
      <c r="AH4" s="76">
        <v>1</v>
      </c>
      <c r="AJ4" s="77" t="s">
        <v>683</v>
      </c>
      <c r="AK4" s="87">
        <v>45982</v>
      </c>
      <c r="AL4" s="78" t="s">
        <v>366</v>
      </c>
      <c r="AM4" s="79">
        <v>1</v>
      </c>
      <c r="AN4" s="78" t="s">
        <v>347</v>
      </c>
      <c r="AO4" s="78" t="s">
        <v>334</v>
      </c>
      <c r="AP4" s="79">
        <v>5</v>
      </c>
      <c r="AQ4" s="80" t="s">
        <v>696</v>
      </c>
      <c r="AR4" s="80" t="s">
        <v>396</v>
      </c>
      <c r="AS4" s="81" t="s">
        <v>433</v>
      </c>
      <c r="AT4" s="80" t="s">
        <v>431</v>
      </c>
      <c r="AU4" s="80" t="s">
        <v>395</v>
      </c>
      <c r="AV4" s="82">
        <v>0</v>
      </c>
      <c r="AW4" s="80" t="s">
        <v>379</v>
      </c>
      <c r="AX4" s="80" t="s">
        <v>432</v>
      </c>
      <c r="AY4" s="83" t="s">
        <v>387</v>
      </c>
    </row>
    <row r="5" spans="1:51" x14ac:dyDescent="0.25">
      <c r="A5" s="75" t="s">
        <v>380</v>
      </c>
      <c r="B5" s="76">
        <v>4</v>
      </c>
      <c r="C5" s="76">
        <v>244</v>
      </c>
      <c r="D5" s="76">
        <v>0</v>
      </c>
      <c r="E5" s="85">
        <v>45713</v>
      </c>
      <c r="F5" s="76">
        <v>113</v>
      </c>
      <c r="G5" s="75" t="s">
        <v>544</v>
      </c>
      <c r="H5" s="75" t="s">
        <v>545</v>
      </c>
      <c r="I5" s="75" t="s">
        <v>546</v>
      </c>
      <c r="J5" s="75" t="s">
        <v>547</v>
      </c>
      <c r="K5" s="68">
        <v>640</v>
      </c>
      <c r="L5" s="86"/>
      <c r="M5" s="68">
        <v>640</v>
      </c>
      <c r="N5" s="85"/>
      <c r="O5" s="85"/>
      <c r="P5" s="75" t="s">
        <v>30</v>
      </c>
      <c r="Q5" s="76">
        <v>8</v>
      </c>
      <c r="R5" s="76">
        <v>10</v>
      </c>
      <c r="S5" s="75" t="s">
        <v>32</v>
      </c>
      <c r="T5" s="75" t="s">
        <v>381</v>
      </c>
      <c r="U5" s="75" t="s">
        <v>415</v>
      </c>
      <c r="V5" s="75" t="s">
        <v>416</v>
      </c>
      <c r="W5" s="75" t="s">
        <v>544</v>
      </c>
      <c r="X5" s="75" t="s">
        <v>548</v>
      </c>
      <c r="Y5" s="76">
        <v>4</v>
      </c>
      <c r="Z5" s="75" t="s">
        <v>33</v>
      </c>
      <c r="AA5" s="76">
        <v>830</v>
      </c>
      <c r="AB5" s="75" t="s">
        <v>549</v>
      </c>
      <c r="AC5" s="76">
        <v>180</v>
      </c>
      <c r="AD5" s="76">
        <v>4</v>
      </c>
      <c r="AE5" s="75" t="s">
        <v>384</v>
      </c>
      <c r="AF5" s="76">
        <v>1</v>
      </c>
      <c r="AG5" s="75" t="s">
        <v>418</v>
      </c>
      <c r="AH5" s="76">
        <v>1</v>
      </c>
      <c r="AJ5" s="77" t="s">
        <v>550</v>
      </c>
      <c r="AK5" s="87"/>
      <c r="AL5" s="78" t="s">
        <v>366</v>
      </c>
      <c r="AM5" s="79">
        <v>1</v>
      </c>
      <c r="AN5" s="78" t="s">
        <v>347</v>
      </c>
      <c r="AO5" s="78" t="s">
        <v>334</v>
      </c>
      <c r="AP5" s="79">
        <v>5</v>
      </c>
      <c r="AQ5" s="80" t="s">
        <v>563</v>
      </c>
      <c r="AR5" s="80" t="s">
        <v>394</v>
      </c>
      <c r="AS5" s="81" t="s">
        <v>398</v>
      </c>
      <c r="AT5" s="80" t="s">
        <v>435</v>
      </c>
      <c r="AU5" s="80" t="s">
        <v>395</v>
      </c>
      <c r="AV5" s="82">
        <v>0</v>
      </c>
      <c r="AW5" s="80" t="s">
        <v>564</v>
      </c>
      <c r="AX5" s="80" t="s">
        <v>432</v>
      </c>
      <c r="AY5" s="83" t="s">
        <v>387</v>
      </c>
    </row>
    <row r="6" spans="1:51" x14ac:dyDescent="0.25">
      <c r="A6" s="75" t="s">
        <v>380</v>
      </c>
      <c r="B6" s="76">
        <v>5</v>
      </c>
      <c r="C6" s="76">
        <v>266</v>
      </c>
      <c r="D6" s="76">
        <v>0</v>
      </c>
      <c r="E6" s="85">
        <v>45715</v>
      </c>
      <c r="F6" s="76">
        <v>113</v>
      </c>
      <c r="G6" s="75" t="s">
        <v>544</v>
      </c>
      <c r="H6" s="75" t="s">
        <v>545</v>
      </c>
      <c r="I6" s="75" t="s">
        <v>546</v>
      </c>
      <c r="J6" s="75" t="s">
        <v>547</v>
      </c>
      <c r="K6" s="68">
        <v>640</v>
      </c>
      <c r="L6" s="86"/>
      <c r="M6" s="68">
        <v>640</v>
      </c>
      <c r="N6" s="85"/>
      <c r="O6" s="85"/>
      <c r="P6" s="75" t="s">
        <v>30</v>
      </c>
      <c r="Q6" s="76">
        <v>8</v>
      </c>
      <c r="R6" s="76">
        <v>10</v>
      </c>
      <c r="S6" s="75" t="s">
        <v>32</v>
      </c>
      <c r="T6" s="75" t="s">
        <v>381</v>
      </c>
      <c r="U6" s="75" t="s">
        <v>415</v>
      </c>
      <c r="V6" s="75" t="s">
        <v>416</v>
      </c>
      <c r="W6" s="75" t="s">
        <v>544</v>
      </c>
      <c r="X6" s="75" t="s">
        <v>548</v>
      </c>
      <c r="Y6" s="76">
        <v>4</v>
      </c>
      <c r="Z6" s="75" t="s">
        <v>33</v>
      </c>
      <c r="AA6" s="76">
        <v>830</v>
      </c>
      <c r="AB6" s="75" t="s">
        <v>549</v>
      </c>
      <c r="AC6" s="76">
        <v>180</v>
      </c>
      <c r="AD6" s="76">
        <v>4</v>
      </c>
      <c r="AE6" s="75" t="s">
        <v>384</v>
      </c>
      <c r="AF6" s="76">
        <v>1</v>
      </c>
      <c r="AG6" s="75" t="s">
        <v>418</v>
      </c>
      <c r="AH6" s="76">
        <v>1</v>
      </c>
      <c r="AJ6" s="77" t="s">
        <v>550</v>
      </c>
      <c r="AK6" s="87"/>
      <c r="AL6" s="78" t="s">
        <v>366</v>
      </c>
      <c r="AM6" s="79">
        <v>1</v>
      </c>
      <c r="AN6" s="78" t="s">
        <v>347</v>
      </c>
      <c r="AO6" s="78" t="s">
        <v>334</v>
      </c>
      <c r="AP6" s="79">
        <v>5</v>
      </c>
      <c r="AQ6" s="80" t="s">
        <v>565</v>
      </c>
      <c r="AR6" s="80" t="s">
        <v>394</v>
      </c>
      <c r="AS6" s="81" t="s">
        <v>398</v>
      </c>
      <c r="AT6" s="80" t="s">
        <v>435</v>
      </c>
      <c r="AU6" s="80" t="s">
        <v>395</v>
      </c>
      <c r="AV6" s="82">
        <v>0</v>
      </c>
      <c r="AW6" s="80" t="s">
        <v>564</v>
      </c>
      <c r="AX6" s="80" t="s">
        <v>432</v>
      </c>
      <c r="AY6" s="83" t="s">
        <v>387</v>
      </c>
    </row>
    <row r="7" spans="1:51" x14ac:dyDescent="0.25">
      <c r="A7" s="75" t="s">
        <v>380</v>
      </c>
      <c r="B7" s="76">
        <v>6</v>
      </c>
      <c r="C7" s="76">
        <v>768</v>
      </c>
      <c r="D7" s="76">
        <v>0</v>
      </c>
      <c r="E7" s="85">
        <v>45958</v>
      </c>
      <c r="F7" s="76">
        <v>284</v>
      </c>
      <c r="G7" s="75" t="s">
        <v>448</v>
      </c>
      <c r="H7" s="75" t="s">
        <v>540</v>
      </c>
      <c r="I7" s="75" t="s">
        <v>541</v>
      </c>
      <c r="J7" s="75" t="s">
        <v>513</v>
      </c>
      <c r="K7" s="68">
        <v>0.5</v>
      </c>
      <c r="L7" s="86"/>
      <c r="M7" s="68">
        <v>0.5</v>
      </c>
      <c r="N7" s="85"/>
      <c r="O7" s="85">
        <v>45980</v>
      </c>
      <c r="P7" s="75" t="s">
        <v>414</v>
      </c>
      <c r="Q7" s="76">
        <v>8</v>
      </c>
      <c r="R7" s="76">
        <v>10</v>
      </c>
      <c r="S7" s="75" t="s">
        <v>509</v>
      </c>
      <c r="T7" s="75" t="s">
        <v>783</v>
      </c>
      <c r="U7" s="75" t="s">
        <v>415</v>
      </c>
      <c r="V7" s="75" t="s">
        <v>416</v>
      </c>
      <c r="W7" s="75" t="s">
        <v>449</v>
      </c>
      <c r="X7" s="75" t="s">
        <v>450</v>
      </c>
      <c r="Y7" s="76">
        <v>4</v>
      </c>
      <c r="Z7" s="75" t="s">
        <v>425</v>
      </c>
      <c r="AA7" s="76">
        <v>199</v>
      </c>
      <c r="AB7" s="75" t="s">
        <v>472</v>
      </c>
      <c r="AC7" s="76">
        <v>120</v>
      </c>
      <c r="AD7" s="76">
        <v>4</v>
      </c>
      <c r="AE7" s="75" t="s">
        <v>384</v>
      </c>
      <c r="AF7" s="76">
        <v>1</v>
      </c>
      <c r="AG7" s="75" t="s">
        <v>418</v>
      </c>
      <c r="AH7" s="76">
        <v>70</v>
      </c>
      <c r="AJ7" s="77" t="s">
        <v>514</v>
      </c>
      <c r="AK7" s="87"/>
      <c r="AL7" s="78" t="s">
        <v>366</v>
      </c>
      <c r="AM7" s="79">
        <v>1</v>
      </c>
      <c r="AN7" s="78"/>
      <c r="AO7" s="78"/>
      <c r="AP7" s="79"/>
      <c r="AQ7" s="80" t="s">
        <v>531</v>
      </c>
      <c r="AR7" s="80" t="s">
        <v>394</v>
      </c>
      <c r="AS7" s="81" t="s">
        <v>398</v>
      </c>
      <c r="AT7" s="80" t="s">
        <v>410</v>
      </c>
      <c r="AU7" s="80" t="s">
        <v>395</v>
      </c>
      <c r="AV7" s="82">
        <v>0</v>
      </c>
      <c r="AW7" s="80" t="s">
        <v>379</v>
      </c>
      <c r="AX7" s="80" t="s">
        <v>432</v>
      </c>
      <c r="AY7" s="83" t="s">
        <v>387</v>
      </c>
    </row>
    <row r="8" spans="1:51" x14ac:dyDescent="0.25">
      <c r="A8" s="75" t="s">
        <v>380</v>
      </c>
      <c r="B8" s="76">
        <v>7</v>
      </c>
      <c r="C8" s="76">
        <v>770</v>
      </c>
      <c r="D8" s="76">
        <v>0</v>
      </c>
      <c r="E8" s="85">
        <v>45958</v>
      </c>
      <c r="F8" s="76">
        <v>284</v>
      </c>
      <c r="G8" s="75" t="s">
        <v>448</v>
      </c>
      <c r="H8" s="75" t="s">
        <v>469</v>
      </c>
      <c r="I8" s="75" t="s">
        <v>470</v>
      </c>
      <c r="J8" s="75" t="s">
        <v>471</v>
      </c>
      <c r="K8" s="68">
        <v>640</v>
      </c>
      <c r="L8" s="86">
        <v>340</v>
      </c>
      <c r="M8" s="68">
        <v>300</v>
      </c>
      <c r="N8" s="85"/>
      <c r="O8" s="85">
        <v>45986</v>
      </c>
      <c r="P8" s="75" t="s">
        <v>31</v>
      </c>
      <c r="Q8" s="76">
        <v>8</v>
      </c>
      <c r="R8" s="76">
        <v>10</v>
      </c>
      <c r="S8" s="75" t="s">
        <v>37</v>
      </c>
      <c r="T8" s="75" t="s">
        <v>783</v>
      </c>
      <c r="U8" s="75" t="s">
        <v>415</v>
      </c>
      <c r="V8" s="75" t="s">
        <v>416</v>
      </c>
      <c r="W8" s="75" t="s">
        <v>449</v>
      </c>
      <c r="X8" s="75" t="s">
        <v>450</v>
      </c>
      <c r="Y8" s="76">
        <v>4</v>
      </c>
      <c r="Z8" s="75" t="s">
        <v>425</v>
      </c>
      <c r="AA8" s="76">
        <v>199</v>
      </c>
      <c r="AB8" s="75" t="s">
        <v>472</v>
      </c>
      <c r="AC8" s="76">
        <v>120</v>
      </c>
      <c r="AD8" s="76">
        <v>4</v>
      </c>
      <c r="AE8" s="75" t="s">
        <v>384</v>
      </c>
      <c r="AF8" s="76">
        <v>1</v>
      </c>
      <c r="AG8" s="75" t="s">
        <v>418</v>
      </c>
      <c r="AH8" s="76">
        <v>2</v>
      </c>
      <c r="AJ8" s="77" t="s">
        <v>518</v>
      </c>
      <c r="AK8" s="87"/>
      <c r="AL8" s="78" t="s">
        <v>366</v>
      </c>
      <c r="AM8" s="79">
        <v>1</v>
      </c>
      <c r="AN8" s="78"/>
      <c r="AO8" s="78"/>
      <c r="AP8" s="79"/>
      <c r="AQ8" s="80" t="s">
        <v>532</v>
      </c>
      <c r="AR8" s="80" t="s">
        <v>394</v>
      </c>
      <c r="AS8" s="81" t="s">
        <v>398</v>
      </c>
      <c r="AT8" s="80" t="s">
        <v>431</v>
      </c>
      <c r="AU8" s="80" t="s">
        <v>395</v>
      </c>
      <c r="AV8" s="82">
        <v>0</v>
      </c>
      <c r="AW8" s="80" t="s">
        <v>379</v>
      </c>
      <c r="AX8" s="80" t="s">
        <v>432</v>
      </c>
      <c r="AY8" s="83" t="s">
        <v>387</v>
      </c>
    </row>
    <row r="9" spans="1:51" x14ac:dyDescent="0.25">
      <c r="A9" s="75" t="s">
        <v>380</v>
      </c>
      <c r="B9" s="76">
        <v>8</v>
      </c>
      <c r="C9" s="76">
        <v>770</v>
      </c>
      <c r="D9" s="76">
        <v>0</v>
      </c>
      <c r="E9" s="85">
        <v>45958</v>
      </c>
      <c r="F9" s="76">
        <v>284</v>
      </c>
      <c r="G9" s="75" t="s">
        <v>448</v>
      </c>
      <c r="H9" s="75" t="s">
        <v>510</v>
      </c>
      <c r="I9" s="75" t="s">
        <v>508</v>
      </c>
      <c r="J9" s="75" t="s">
        <v>471</v>
      </c>
      <c r="K9" s="68">
        <v>0.5</v>
      </c>
      <c r="L9" s="86"/>
      <c r="M9" s="68">
        <v>0.5</v>
      </c>
      <c r="N9" s="85"/>
      <c r="O9" s="85">
        <v>45986</v>
      </c>
      <c r="P9" s="75" t="s">
        <v>31</v>
      </c>
      <c r="Q9" s="76">
        <v>8</v>
      </c>
      <c r="R9" s="76">
        <v>10</v>
      </c>
      <c r="S9" s="75" t="s">
        <v>509</v>
      </c>
      <c r="T9" s="75" t="s">
        <v>783</v>
      </c>
      <c r="U9" s="75" t="s">
        <v>415</v>
      </c>
      <c r="V9" s="75" t="s">
        <v>416</v>
      </c>
      <c r="W9" s="75" t="s">
        <v>449</v>
      </c>
      <c r="X9" s="75" t="s">
        <v>450</v>
      </c>
      <c r="Y9" s="76">
        <v>4</v>
      </c>
      <c r="Z9" s="75" t="s">
        <v>425</v>
      </c>
      <c r="AA9" s="76">
        <v>199</v>
      </c>
      <c r="AB9" s="75" t="s">
        <v>472</v>
      </c>
      <c r="AC9" s="76">
        <v>120</v>
      </c>
      <c r="AD9" s="76">
        <v>4</v>
      </c>
      <c r="AE9" s="75" t="s">
        <v>384</v>
      </c>
      <c r="AF9" s="76">
        <v>1</v>
      </c>
      <c r="AG9" s="75" t="s">
        <v>418</v>
      </c>
      <c r="AH9" s="76">
        <v>2</v>
      </c>
      <c r="AJ9" s="77" t="s">
        <v>518</v>
      </c>
      <c r="AK9" s="87"/>
      <c r="AL9" s="78" t="s">
        <v>366</v>
      </c>
      <c r="AM9" s="79">
        <v>1</v>
      </c>
      <c r="AN9" s="78"/>
      <c r="AO9" s="78"/>
      <c r="AP9" s="79"/>
      <c r="AQ9" s="80" t="s">
        <v>532</v>
      </c>
      <c r="AR9" s="80" t="s">
        <v>394</v>
      </c>
      <c r="AS9" s="81" t="s">
        <v>398</v>
      </c>
      <c r="AT9" s="80" t="s">
        <v>410</v>
      </c>
      <c r="AU9" s="80" t="s">
        <v>395</v>
      </c>
      <c r="AV9" s="82">
        <v>0</v>
      </c>
      <c r="AW9" s="80" t="s">
        <v>379</v>
      </c>
      <c r="AX9" s="80" t="s">
        <v>432</v>
      </c>
      <c r="AY9" s="83" t="s">
        <v>387</v>
      </c>
    </row>
    <row r="10" spans="1:51" x14ac:dyDescent="0.25">
      <c r="A10" s="75" t="s">
        <v>380</v>
      </c>
      <c r="B10" s="76">
        <v>9</v>
      </c>
      <c r="C10" s="76">
        <v>796</v>
      </c>
      <c r="D10" s="76">
        <v>0</v>
      </c>
      <c r="E10" s="85">
        <v>45972</v>
      </c>
      <c r="F10" s="76">
        <v>284</v>
      </c>
      <c r="G10" s="75" t="s">
        <v>448</v>
      </c>
      <c r="H10" s="75" t="s">
        <v>666</v>
      </c>
      <c r="I10" s="75" t="s">
        <v>667</v>
      </c>
      <c r="J10" s="75" t="s">
        <v>668</v>
      </c>
      <c r="K10" s="68">
        <v>1296</v>
      </c>
      <c r="L10" s="86"/>
      <c r="M10" s="68">
        <v>1296</v>
      </c>
      <c r="N10" s="85">
        <v>45996</v>
      </c>
      <c r="O10" s="85">
        <v>46003</v>
      </c>
      <c r="P10" s="75" t="s">
        <v>30</v>
      </c>
      <c r="Q10" s="76">
        <v>8</v>
      </c>
      <c r="R10" s="76">
        <v>10</v>
      </c>
      <c r="S10" s="75" t="s">
        <v>29</v>
      </c>
      <c r="T10" s="75" t="s">
        <v>381</v>
      </c>
      <c r="U10" s="75" t="s">
        <v>415</v>
      </c>
      <c r="V10" s="75" t="s">
        <v>416</v>
      </c>
      <c r="W10" s="75" t="s">
        <v>449</v>
      </c>
      <c r="X10" s="75" t="s">
        <v>450</v>
      </c>
      <c r="Y10" s="76">
        <v>5</v>
      </c>
      <c r="Z10" s="75" t="s">
        <v>669</v>
      </c>
      <c r="AA10" s="76">
        <v>213</v>
      </c>
      <c r="AB10" s="75" t="s">
        <v>33</v>
      </c>
      <c r="AC10" s="76">
        <v>125</v>
      </c>
      <c r="AD10" s="76">
        <v>5</v>
      </c>
      <c r="AE10" s="75" t="s">
        <v>383</v>
      </c>
      <c r="AF10" s="76">
        <v>1</v>
      </c>
      <c r="AG10" s="75" t="s">
        <v>418</v>
      </c>
      <c r="AH10" s="76">
        <v>1</v>
      </c>
      <c r="AJ10" s="77" t="s">
        <v>670</v>
      </c>
      <c r="AK10" s="87"/>
      <c r="AL10" s="78" t="s">
        <v>366</v>
      </c>
      <c r="AM10" s="79">
        <v>1</v>
      </c>
      <c r="AN10" s="78" t="s">
        <v>347</v>
      </c>
      <c r="AO10" s="78" t="s">
        <v>334</v>
      </c>
      <c r="AP10" s="79">
        <v>5</v>
      </c>
      <c r="AQ10" s="80" t="s">
        <v>675</v>
      </c>
      <c r="AR10" s="80" t="s">
        <v>394</v>
      </c>
      <c r="AS10" s="81" t="s">
        <v>433</v>
      </c>
      <c r="AT10" s="80" t="s">
        <v>431</v>
      </c>
      <c r="AU10" s="80" t="s">
        <v>334</v>
      </c>
      <c r="AV10" s="82">
        <v>49</v>
      </c>
      <c r="AW10" s="80" t="s">
        <v>379</v>
      </c>
      <c r="AX10" s="80" t="s">
        <v>432</v>
      </c>
      <c r="AY10" s="83" t="s">
        <v>388</v>
      </c>
    </row>
    <row r="11" spans="1:51" x14ac:dyDescent="0.25">
      <c r="A11" s="75" t="s">
        <v>380</v>
      </c>
      <c r="B11" s="76">
        <v>10</v>
      </c>
      <c r="C11" s="76">
        <v>796</v>
      </c>
      <c r="D11" s="76">
        <v>0</v>
      </c>
      <c r="E11" s="85">
        <v>45972</v>
      </c>
      <c r="F11" s="76">
        <v>284</v>
      </c>
      <c r="G11" s="75" t="s">
        <v>448</v>
      </c>
      <c r="H11" s="75" t="s">
        <v>671</v>
      </c>
      <c r="I11" s="75" t="s">
        <v>672</v>
      </c>
      <c r="J11" s="75" t="s">
        <v>668</v>
      </c>
      <c r="K11" s="68">
        <v>0.5</v>
      </c>
      <c r="L11" s="86"/>
      <c r="M11" s="68">
        <v>0.5</v>
      </c>
      <c r="N11" s="85">
        <v>45996</v>
      </c>
      <c r="O11" s="85">
        <v>46003</v>
      </c>
      <c r="P11" s="75" t="s">
        <v>30</v>
      </c>
      <c r="Q11" s="76">
        <v>8</v>
      </c>
      <c r="R11" s="76">
        <v>10</v>
      </c>
      <c r="S11" s="75" t="s">
        <v>509</v>
      </c>
      <c r="T11" s="75" t="s">
        <v>381</v>
      </c>
      <c r="U11" s="75" t="s">
        <v>415</v>
      </c>
      <c r="V11" s="75" t="s">
        <v>416</v>
      </c>
      <c r="W11" s="75" t="s">
        <v>449</v>
      </c>
      <c r="X11" s="75" t="s">
        <v>450</v>
      </c>
      <c r="Y11" s="76">
        <v>5</v>
      </c>
      <c r="Z11" s="75" t="s">
        <v>669</v>
      </c>
      <c r="AA11" s="76">
        <v>213</v>
      </c>
      <c r="AB11" s="75" t="s">
        <v>33</v>
      </c>
      <c r="AC11" s="76">
        <v>125</v>
      </c>
      <c r="AD11" s="76">
        <v>5</v>
      </c>
      <c r="AE11" s="75" t="s">
        <v>383</v>
      </c>
      <c r="AF11" s="76">
        <v>1</v>
      </c>
      <c r="AG11" s="75" t="s">
        <v>418</v>
      </c>
      <c r="AH11" s="76">
        <v>1</v>
      </c>
      <c r="AJ11" s="77" t="s">
        <v>670</v>
      </c>
      <c r="AK11" s="87"/>
      <c r="AL11" s="78" t="s">
        <v>366</v>
      </c>
      <c r="AM11" s="79">
        <v>1</v>
      </c>
      <c r="AN11" s="78" t="s">
        <v>347</v>
      </c>
      <c r="AO11" s="78" t="s">
        <v>334</v>
      </c>
      <c r="AP11" s="79">
        <v>5</v>
      </c>
      <c r="AQ11" s="80" t="s">
        <v>675</v>
      </c>
      <c r="AR11" s="80" t="s">
        <v>394</v>
      </c>
      <c r="AS11" s="81" t="s">
        <v>433</v>
      </c>
      <c r="AT11" s="80" t="s">
        <v>410</v>
      </c>
      <c r="AU11" s="80" t="s">
        <v>334</v>
      </c>
      <c r="AV11" s="82">
        <v>49</v>
      </c>
      <c r="AW11" s="80" t="s">
        <v>379</v>
      </c>
      <c r="AX11" s="80" t="s">
        <v>432</v>
      </c>
      <c r="AY11" s="83" t="s">
        <v>388</v>
      </c>
    </row>
    <row r="12" spans="1:51" x14ac:dyDescent="0.25">
      <c r="A12" s="75" t="s">
        <v>380</v>
      </c>
      <c r="B12" s="76">
        <v>11</v>
      </c>
      <c r="C12" s="76">
        <v>797</v>
      </c>
      <c r="D12" s="76">
        <v>0</v>
      </c>
      <c r="E12" s="85">
        <v>45972</v>
      </c>
      <c r="F12" s="76">
        <v>284</v>
      </c>
      <c r="G12" s="75" t="s">
        <v>448</v>
      </c>
      <c r="H12" s="75" t="s">
        <v>469</v>
      </c>
      <c r="I12" s="75" t="s">
        <v>470</v>
      </c>
      <c r="J12" s="75" t="s">
        <v>471</v>
      </c>
      <c r="K12" s="68">
        <v>640</v>
      </c>
      <c r="L12" s="86"/>
      <c r="M12" s="68">
        <v>640</v>
      </c>
      <c r="N12" s="85"/>
      <c r="O12" s="85">
        <v>46001</v>
      </c>
      <c r="P12" s="75" t="s">
        <v>31</v>
      </c>
      <c r="Q12" s="76">
        <v>8</v>
      </c>
      <c r="R12" s="76">
        <v>10</v>
      </c>
      <c r="S12" s="75" t="s">
        <v>37</v>
      </c>
      <c r="T12" s="75" t="s">
        <v>381</v>
      </c>
      <c r="U12" s="75" t="s">
        <v>415</v>
      </c>
      <c r="V12" s="75" t="s">
        <v>416</v>
      </c>
      <c r="W12" s="75" t="s">
        <v>449</v>
      </c>
      <c r="X12" s="75" t="s">
        <v>450</v>
      </c>
      <c r="Y12" s="76">
        <v>4</v>
      </c>
      <c r="Z12" s="75" t="s">
        <v>425</v>
      </c>
      <c r="AA12" s="76">
        <v>199</v>
      </c>
      <c r="AB12" s="75" t="s">
        <v>472</v>
      </c>
      <c r="AC12" s="76">
        <v>120</v>
      </c>
      <c r="AD12" s="76">
        <v>4</v>
      </c>
      <c r="AE12" s="75" t="s">
        <v>384</v>
      </c>
      <c r="AF12" s="76">
        <v>1</v>
      </c>
      <c r="AG12" s="75" t="s">
        <v>418</v>
      </c>
      <c r="AH12" s="76">
        <v>2</v>
      </c>
      <c r="AJ12" s="77" t="s">
        <v>673</v>
      </c>
      <c r="AK12" s="87"/>
      <c r="AL12" s="78" t="s">
        <v>366</v>
      </c>
      <c r="AM12" s="79">
        <v>1</v>
      </c>
      <c r="AN12" s="78"/>
      <c r="AO12" s="78"/>
      <c r="AP12" s="79"/>
      <c r="AQ12" s="80" t="s">
        <v>676</v>
      </c>
      <c r="AR12" s="80" t="s">
        <v>394</v>
      </c>
      <c r="AS12" s="81" t="s">
        <v>398</v>
      </c>
      <c r="AT12" s="80" t="s">
        <v>431</v>
      </c>
      <c r="AU12" s="80" t="s">
        <v>395</v>
      </c>
      <c r="AV12" s="82">
        <v>0</v>
      </c>
      <c r="AW12" s="80" t="s">
        <v>379</v>
      </c>
      <c r="AX12" s="80" t="s">
        <v>432</v>
      </c>
      <c r="AY12" s="83" t="s">
        <v>387</v>
      </c>
    </row>
    <row r="13" spans="1:51" x14ac:dyDescent="0.25">
      <c r="A13" s="75" t="s">
        <v>380</v>
      </c>
      <c r="B13" s="76">
        <v>12</v>
      </c>
      <c r="C13" s="76">
        <v>797</v>
      </c>
      <c r="D13" s="76">
        <v>0</v>
      </c>
      <c r="E13" s="85">
        <v>45972</v>
      </c>
      <c r="F13" s="76">
        <v>284</v>
      </c>
      <c r="G13" s="75" t="s">
        <v>448</v>
      </c>
      <c r="H13" s="75" t="s">
        <v>510</v>
      </c>
      <c r="I13" s="75" t="s">
        <v>508</v>
      </c>
      <c r="J13" s="75" t="s">
        <v>471</v>
      </c>
      <c r="K13" s="68">
        <v>0.5</v>
      </c>
      <c r="L13" s="86"/>
      <c r="M13" s="68">
        <v>0.5</v>
      </c>
      <c r="N13" s="85"/>
      <c r="O13" s="85">
        <v>46001</v>
      </c>
      <c r="P13" s="75" t="s">
        <v>31</v>
      </c>
      <c r="Q13" s="76">
        <v>8</v>
      </c>
      <c r="R13" s="76">
        <v>10</v>
      </c>
      <c r="S13" s="75" t="s">
        <v>509</v>
      </c>
      <c r="T13" s="75" t="s">
        <v>381</v>
      </c>
      <c r="U13" s="75" t="s">
        <v>415</v>
      </c>
      <c r="V13" s="75" t="s">
        <v>416</v>
      </c>
      <c r="W13" s="75" t="s">
        <v>449</v>
      </c>
      <c r="X13" s="75" t="s">
        <v>450</v>
      </c>
      <c r="Y13" s="76">
        <v>4</v>
      </c>
      <c r="Z13" s="75" t="s">
        <v>425</v>
      </c>
      <c r="AA13" s="76">
        <v>199</v>
      </c>
      <c r="AB13" s="75" t="s">
        <v>472</v>
      </c>
      <c r="AC13" s="76">
        <v>120</v>
      </c>
      <c r="AD13" s="76">
        <v>4</v>
      </c>
      <c r="AE13" s="75" t="s">
        <v>384</v>
      </c>
      <c r="AF13" s="76">
        <v>1</v>
      </c>
      <c r="AG13" s="75" t="s">
        <v>418</v>
      </c>
      <c r="AH13" s="76">
        <v>2</v>
      </c>
      <c r="AJ13" s="77" t="s">
        <v>673</v>
      </c>
      <c r="AK13" s="87"/>
      <c r="AL13" s="78" t="s">
        <v>366</v>
      </c>
      <c r="AM13" s="79">
        <v>1</v>
      </c>
      <c r="AN13" s="78"/>
      <c r="AO13" s="78"/>
      <c r="AP13" s="79"/>
      <c r="AQ13" s="80" t="s">
        <v>676</v>
      </c>
      <c r="AR13" s="80" t="s">
        <v>394</v>
      </c>
      <c r="AS13" s="81" t="s">
        <v>398</v>
      </c>
      <c r="AT13" s="80" t="s">
        <v>410</v>
      </c>
      <c r="AU13" s="80" t="s">
        <v>395</v>
      </c>
      <c r="AV13" s="82">
        <v>0</v>
      </c>
      <c r="AW13" s="80" t="s">
        <v>379</v>
      </c>
      <c r="AX13" s="80" t="s">
        <v>432</v>
      </c>
      <c r="AY13" s="83" t="s">
        <v>387</v>
      </c>
    </row>
    <row r="14" spans="1:51" x14ac:dyDescent="0.25">
      <c r="A14" s="75" t="s">
        <v>380</v>
      </c>
      <c r="B14" s="76">
        <v>13</v>
      </c>
      <c r="C14" s="76">
        <v>798</v>
      </c>
      <c r="D14" s="76">
        <v>0</v>
      </c>
      <c r="E14" s="85">
        <v>45972</v>
      </c>
      <c r="F14" s="76">
        <v>284</v>
      </c>
      <c r="G14" s="75" t="s">
        <v>448</v>
      </c>
      <c r="H14" s="75" t="s">
        <v>478</v>
      </c>
      <c r="I14" s="75" t="s">
        <v>479</v>
      </c>
      <c r="J14" s="75" t="s">
        <v>480</v>
      </c>
      <c r="K14" s="68">
        <v>640</v>
      </c>
      <c r="L14" s="86"/>
      <c r="M14" s="68">
        <v>640</v>
      </c>
      <c r="N14" s="85">
        <v>45996</v>
      </c>
      <c r="O14" s="85">
        <v>46001</v>
      </c>
      <c r="P14" s="75" t="s">
        <v>31</v>
      </c>
      <c r="Q14" s="76">
        <v>8</v>
      </c>
      <c r="R14" s="76">
        <v>10</v>
      </c>
      <c r="S14" s="75" t="s">
        <v>37</v>
      </c>
      <c r="T14" s="75" t="s">
        <v>381</v>
      </c>
      <c r="U14" s="75" t="s">
        <v>415</v>
      </c>
      <c r="V14" s="75" t="s">
        <v>416</v>
      </c>
      <c r="W14" s="75" t="s">
        <v>449</v>
      </c>
      <c r="X14" s="75" t="s">
        <v>450</v>
      </c>
      <c r="Y14" s="76">
        <v>5</v>
      </c>
      <c r="Z14" s="75" t="s">
        <v>425</v>
      </c>
      <c r="AA14" s="76">
        <v>208</v>
      </c>
      <c r="AB14" s="75" t="s">
        <v>426</v>
      </c>
      <c r="AC14" s="76">
        <v>120</v>
      </c>
      <c r="AD14" s="76">
        <v>5</v>
      </c>
      <c r="AE14" s="75" t="s">
        <v>383</v>
      </c>
      <c r="AF14" s="76">
        <v>1</v>
      </c>
      <c r="AG14" s="75" t="s">
        <v>418</v>
      </c>
      <c r="AH14" s="76">
        <v>2</v>
      </c>
      <c r="AJ14" s="77" t="s">
        <v>674</v>
      </c>
      <c r="AK14" s="87"/>
      <c r="AL14" s="78" t="s">
        <v>366</v>
      </c>
      <c r="AM14" s="79">
        <v>1</v>
      </c>
      <c r="AN14" s="78"/>
      <c r="AO14" s="78"/>
      <c r="AP14" s="79"/>
      <c r="AQ14" s="80" t="s">
        <v>677</v>
      </c>
      <c r="AR14" s="80" t="s">
        <v>394</v>
      </c>
      <c r="AS14" s="81" t="s">
        <v>433</v>
      </c>
      <c r="AT14" s="80" t="s">
        <v>431</v>
      </c>
      <c r="AU14" s="80" t="s">
        <v>334</v>
      </c>
      <c r="AV14" s="82">
        <v>49</v>
      </c>
      <c r="AW14" s="80" t="s">
        <v>379</v>
      </c>
      <c r="AX14" s="80" t="s">
        <v>432</v>
      </c>
      <c r="AY14" s="83" t="s">
        <v>387</v>
      </c>
    </row>
    <row r="15" spans="1:51" x14ac:dyDescent="0.25">
      <c r="A15" s="75" t="s">
        <v>380</v>
      </c>
      <c r="B15" s="76">
        <v>14</v>
      </c>
      <c r="C15" s="76">
        <v>798</v>
      </c>
      <c r="D15" s="76">
        <v>0</v>
      </c>
      <c r="E15" s="85">
        <v>45972</v>
      </c>
      <c r="F15" s="76">
        <v>284</v>
      </c>
      <c r="G15" s="75" t="s">
        <v>448</v>
      </c>
      <c r="H15" s="75" t="s">
        <v>538</v>
      </c>
      <c r="I15" s="75" t="s">
        <v>539</v>
      </c>
      <c r="J15" s="75" t="s">
        <v>480</v>
      </c>
      <c r="K15" s="68">
        <v>0.5</v>
      </c>
      <c r="L15" s="86"/>
      <c r="M15" s="68">
        <v>0.5</v>
      </c>
      <c r="N15" s="85">
        <v>45996</v>
      </c>
      <c r="O15" s="85">
        <v>46001</v>
      </c>
      <c r="P15" s="75" t="s">
        <v>31</v>
      </c>
      <c r="Q15" s="76">
        <v>8</v>
      </c>
      <c r="R15" s="76">
        <v>10</v>
      </c>
      <c r="S15" s="75" t="s">
        <v>509</v>
      </c>
      <c r="T15" s="75" t="s">
        <v>381</v>
      </c>
      <c r="U15" s="75" t="s">
        <v>415</v>
      </c>
      <c r="V15" s="75" t="s">
        <v>416</v>
      </c>
      <c r="W15" s="75" t="s">
        <v>449</v>
      </c>
      <c r="X15" s="75" t="s">
        <v>450</v>
      </c>
      <c r="Y15" s="76">
        <v>5</v>
      </c>
      <c r="Z15" s="75" t="s">
        <v>425</v>
      </c>
      <c r="AA15" s="76">
        <v>208</v>
      </c>
      <c r="AB15" s="75" t="s">
        <v>426</v>
      </c>
      <c r="AC15" s="76">
        <v>120</v>
      </c>
      <c r="AD15" s="76">
        <v>5</v>
      </c>
      <c r="AE15" s="75" t="s">
        <v>383</v>
      </c>
      <c r="AF15" s="76">
        <v>1</v>
      </c>
      <c r="AG15" s="75" t="s">
        <v>418</v>
      </c>
      <c r="AH15" s="76">
        <v>2</v>
      </c>
      <c r="AJ15" s="77" t="s">
        <v>674</v>
      </c>
      <c r="AK15" s="87"/>
      <c r="AL15" s="78" t="s">
        <v>366</v>
      </c>
      <c r="AM15" s="79">
        <v>1</v>
      </c>
      <c r="AN15" s="78"/>
      <c r="AO15" s="78"/>
      <c r="AP15" s="79"/>
      <c r="AQ15" s="80" t="s">
        <v>677</v>
      </c>
      <c r="AR15" s="80" t="s">
        <v>394</v>
      </c>
      <c r="AS15" s="81" t="s">
        <v>433</v>
      </c>
      <c r="AT15" s="80" t="s">
        <v>410</v>
      </c>
      <c r="AU15" s="80" t="s">
        <v>334</v>
      </c>
      <c r="AV15" s="82">
        <v>49</v>
      </c>
      <c r="AW15" s="80" t="s">
        <v>379</v>
      </c>
      <c r="AX15" s="80" t="s">
        <v>432</v>
      </c>
      <c r="AY15" s="83" t="s">
        <v>387</v>
      </c>
    </row>
    <row r="16" spans="1:51" x14ac:dyDescent="0.25">
      <c r="A16" s="75" t="s">
        <v>380</v>
      </c>
      <c r="B16" s="76">
        <v>15</v>
      </c>
      <c r="C16" s="76">
        <v>799</v>
      </c>
      <c r="D16" s="76">
        <v>0</v>
      </c>
      <c r="E16" s="85">
        <v>45972</v>
      </c>
      <c r="F16" s="76">
        <v>284</v>
      </c>
      <c r="G16" s="75" t="s">
        <v>448</v>
      </c>
      <c r="H16" s="75" t="s">
        <v>511</v>
      </c>
      <c r="I16" s="75" t="s">
        <v>512</v>
      </c>
      <c r="J16" s="75" t="s">
        <v>513</v>
      </c>
      <c r="K16" s="68">
        <v>640</v>
      </c>
      <c r="L16" s="86"/>
      <c r="M16" s="68">
        <v>640</v>
      </c>
      <c r="N16" s="85"/>
      <c r="O16" s="85">
        <v>46001</v>
      </c>
      <c r="P16" s="75" t="s">
        <v>414</v>
      </c>
      <c r="Q16" s="76">
        <v>8</v>
      </c>
      <c r="R16" s="76">
        <v>10</v>
      </c>
      <c r="S16" s="75" t="s">
        <v>37</v>
      </c>
      <c r="T16" s="75" t="s">
        <v>381</v>
      </c>
      <c r="U16" s="75" t="s">
        <v>415</v>
      </c>
      <c r="V16" s="75" t="s">
        <v>416</v>
      </c>
      <c r="W16" s="75" t="s">
        <v>449</v>
      </c>
      <c r="X16" s="75" t="s">
        <v>450</v>
      </c>
      <c r="Y16" s="76">
        <v>4</v>
      </c>
      <c r="Z16" s="75" t="s">
        <v>425</v>
      </c>
      <c r="AA16" s="76">
        <v>199</v>
      </c>
      <c r="AB16" s="75" t="s">
        <v>472</v>
      </c>
      <c r="AC16" s="76">
        <v>120</v>
      </c>
      <c r="AD16" s="76">
        <v>4</v>
      </c>
      <c r="AE16" s="75" t="s">
        <v>384</v>
      </c>
      <c r="AF16" s="76">
        <v>1</v>
      </c>
      <c r="AG16" s="75" t="s">
        <v>418</v>
      </c>
      <c r="AH16" s="76">
        <v>70</v>
      </c>
      <c r="AJ16" s="77" t="s">
        <v>684</v>
      </c>
      <c r="AK16" s="87"/>
      <c r="AL16" s="78" t="s">
        <v>366</v>
      </c>
      <c r="AM16" s="79">
        <v>1</v>
      </c>
      <c r="AN16" s="78"/>
      <c r="AO16" s="78"/>
      <c r="AP16" s="79"/>
      <c r="AQ16" s="80" t="s">
        <v>697</v>
      </c>
      <c r="AR16" s="80" t="s">
        <v>394</v>
      </c>
      <c r="AS16" s="81" t="s">
        <v>398</v>
      </c>
      <c r="AT16" s="80" t="s">
        <v>431</v>
      </c>
      <c r="AU16" s="80" t="s">
        <v>395</v>
      </c>
      <c r="AV16" s="82">
        <v>0</v>
      </c>
      <c r="AW16" s="80" t="s">
        <v>379</v>
      </c>
      <c r="AX16" s="80" t="s">
        <v>432</v>
      </c>
      <c r="AY16" s="83" t="s">
        <v>387</v>
      </c>
    </row>
    <row r="17" spans="1:51" x14ac:dyDescent="0.25">
      <c r="A17" s="75" t="s">
        <v>380</v>
      </c>
      <c r="B17" s="76">
        <v>16</v>
      </c>
      <c r="C17" s="76">
        <v>799</v>
      </c>
      <c r="D17" s="76">
        <v>0</v>
      </c>
      <c r="E17" s="85">
        <v>45972</v>
      </c>
      <c r="F17" s="76">
        <v>284</v>
      </c>
      <c r="G17" s="75" t="s">
        <v>448</v>
      </c>
      <c r="H17" s="75" t="s">
        <v>540</v>
      </c>
      <c r="I17" s="75" t="s">
        <v>541</v>
      </c>
      <c r="J17" s="75" t="s">
        <v>513</v>
      </c>
      <c r="K17" s="68">
        <v>0.5</v>
      </c>
      <c r="L17" s="86"/>
      <c r="M17" s="68">
        <v>0.5</v>
      </c>
      <c r="N17" s="85"/>
      <c r="O17" s="85">
        <v>46001</v>
      </c>
      <c r="P17" s="75" t="s">
        <v>414</v>
      </c>
      <c r="Q17" s="76">
        <v>8</v>
      </c>
      <c r="R17" s="76">
        <v>10</v>
      </c>
      <c r="S17" s="75" t="s">
        <v>509</v>
      </c>
      <c r="T17" s="75" t="s">
        <v>381</v>
      </c>
      <c r="U17" s="75" t="s">
        <v>415</v>
      </c>
      <c r="V17" s="75" t="s">
        <v>416</v>
      </c>
      <c r="W17" s="75" t="s">
        <v>449</v>
      </c>
      <c r="X17" s="75" t="s">
        <v>450</v>
      </c>
      <c r="Y17" s="76">
        <v>4</v>
      </c>
      <c r="Z17" s="75" t="s">
        <v>425</v>
      </c>
      <c r="AA17" s="76">
        <v>199</v>
      </c>
      <c r="AB17" s="75" t="s">
        <v>472</v>
      </c>
      <c r="AC17" s="76">
        <v>120</v>
      </c>
      <c r="AD17" s="76">
        <v>4</v>
      </c>
      <c r="AE17" s="75" t="s">
        <v>384</v>
      </c>
      <c r="AF17" s="76">
        <v>1</v>
      </c>
      <c r="AG17" s="75" t="s">
        <v>418</v>
      </c>
      <c r="AH17" s="76">
        <v>70</v>
      </c>
      <c r="AJ17" s="77" t="s">
        <v>684</v>
      </c>
      <c r="AK17" s="87"/>
      <c r="AL17" s="78" t="s">
        <v>366</v>
      </c>
      <c r="AM17" s="79">
        <v>1</v>
      </c>
      <c r="AN17" s="78"/>
      <c r="AO17" s="78"/>
      <c r="AP17" s="79"/>
      <c r="AQ17" s="80" t="s">
        <v>697</v>
      </c>
      <c r="AR17" s="80" t="s">
        <v>394</v>
      </c>
      <c r="AS17" s="81" t="s">
        <v>398</v>
      </c>
      <c r="AT17" s="80" t="s">
        <v>410</v>
      </c>
      <c r="AU17" s="80" t="s">
        <v>395</v>
      </c>
      <c r="AV17" s="82">
        <v>0</v>
      </c>
      <c r="AW17" s="80" t="s">
        <v>379</v>
      </c>
      <c r="AX17" s="80" t="s">
        <v>432</v>
      </c>
      <c r="AY17" s="83" t="s">
        <v>387</v>
      </c>
    </row>
    <row r="18" spans="1:51" x14ac:dyDescent="0.25">
      <c r="A18" s="75" t="s">
        <v>380</v>
      </c>
      <c r="B18" s="76">
        <v>17</v>
      </c>
      <c r="C18" s="76">
        <v>800</v>
      </c>
      <c r="D18" s="76">
        <v>0</v>
      </c>
      <c r="E18" s="85">
        <v>45972</v>
      </c>
      <c r="F18" s="76">
        <v>284</v>
      </c>
      <c r="G18" s="75" t="s">
        <v>448</v>
      </c>
      <c r="H18" s="75" t="s">
        <v>515</v>
      </c>
      <c r="I18" s="75" t="s">
        <v>516</v>
      </c>
      <c r="J18" s="75" t="s">
        <v>517</v>
      </c>
      <c r="K18" s="68">
        <v>640</v>
      </c>
      <c r="L18" s="86"/>
      <c r="M18" s="68">
        <v>640</v>
      </c>
      <c r="N18" s="85">
        <v>45996</v>
      </c>
      <c r="O18" s="85">
        <v>46001</v>
      </c>
      <c r="P18" s="75" t="s">
        <v>414</v>
      </c>
      <c r="Q18" s="76">
        <v>8</v>
      </c>
      <c r="R18" s="76">
        <v>10</v>
      </c>
      <c r="S18" s="75" t="s">
        <v>37</v>
      </c>
      <c r="T18" s="75" t="s">
        <v>381</v>
      </c>
      <c r="U18" s="75" t="s">
        <v>415</v>
      </c>
      <c r="V18" s="75" t="s">
        <v>416</v>
      </c>
      <c r="W18" s="75" t="s">
        <v>449</v>
      </c>
      <c r="X18" s="75" t="s">
        <v>450</v>
      </c>
      <c r="Y18" s="76">
        <v>5</v>
      </c>
      <c r="Z18" s="75" t="s">
        <v>425</v>
      </c>
      <c r="AA18" s="76">
        <v>208</v>
      </c>
      <c r="AB18" s="75" t="s">
        <v>426</v>
      </c>
      <c r="AC18" s="76">
        <v>120</v>
      </c>
      <c r="AD18" s="76">
        <v>5</v>
      </c>
      <c r="AE18" s="75" t="s">
        <v>383</v>
      </c>
      <c r="AF18" s="76">
        <v>1</v>
      </c>
      <c r="AG18" s="75" t="s">
        <v>418</v>
      </c>
      <c r="AH18" s="76">
        <v>70</v>
      </c>
      <c r="AJ18" s="77" t="s">
        <v>685</v>
      </c>
      <c r="AK18" s="87"/>
      <c r="AL18" s="78" t="s">
        <v>366</v>
      </c>
      <c r="AM18" s="79">
        <v>1</v>
      </c>
      <c r="AN18" s="78"/>
      <c r="AO18" s="78"/>
      <c r="AP18" s="79"/>
      <c r="AQ18" s="80" t="s">
        <v>698</v>
      </c>
      <c r="AR18" s="80" t="s">
        <v>394</v>
      </c>
      <c r="AS18" s="81" t="s">
        <v>433</v>
      </c>
      <c r="AT18" s="80" t="s">
        <v>431</v>
      </c>
      <c r="AU18" s="80" t="s">
        <v>334</v>
      </c>
      <c r="AV18" s="82">
        <v>49</v>
      </c>
      <c r="AW18" s="80" t="s">
        <v>379</v>
      </c>
      <c r="AX18" s="80" t="s">
        <v>432</v>
      </c>
      <c r="AY18" s="83" t="s">
        <v>387</v>
      </c>
    </row>
    <row r="19" spans="1:51" x14ac:dyDescent="0.25">
      <c r="A19" s="75" t="s">
        <v>380</v>
      </c>
      <c r="B19" s="76">
        <v>18</v>
      </c>
      <c r="C19" s="76">
        <v>800</v>
      </c>
      <c r="D19" s="76">
        <v>0</v>
      </c>
      <c r="E19" s="85">
        <v>45972</v>
      </c>
      <c r="F19" s="76">
        <v>284</v>
      </c>
      <c r="G19" s="75" t="s">
        <v>448</v>
      </c>
      <c r="H19" s="75" t="s">
        <v>542</v>
      </c>
      <c r="I19" s="75" t="s">
        <v>543</v>
      </c>
      <c r="J19" s="75" t="s">
        <v>517</v>
      </c>
      <c r="K19" s="68">
        <v>0.5</v>
      </c>
      <c r="L19" s="86"/>
      <c r="M19" s="68">
        <v>0.5</v>
      </c>
      <c r="N19" s="85">
        <v>45996</v>
      </c>
      <c r="O19" s="85">
        <v>46001</v>
      </c>
      <c r="P19" s="75" t="s">
        <v>414</v>
      </c>
      <c r="Q19" s="76">
        <v>8</v>
      </c>
      <c r="R19" s="76">
        <v>10</v>
      </c>
      <c r="S19" s="75" t="s">
        <v>509</v>
      </c>
      <c r="T19" s="75" t="s">
        <v>381</v>
      </c>
      <c r="U19" s="75" t="s">
        <v>415</v>
      </c>
      <c r="V19" s="75" t="s">
        <v>416</v>
      </c>
      <c r="W19" s="75" t="s">
        <v>449</v>
      </c>
      <c r="X19" s="75" t="s">
        <v>450</v>
      </c>
      <c r="Y19" s="76">
        <v>5</v>
      </c>
      <c r="Z19" s="75" t="s">
        <v>425</v>
      </c>
      <c r="AA19" s="76">
        <v>208</v>
      </c>
      <c r="AB19" s="75" t="s">
        <v>426</v>
      </c>
      <c r="AC19" s="76">
        <v>120</v>
      </c>
      <c r="AD19" s="76">
        <v>5</v>
      </c>
      <c r="AE19" s="75" t="s">
        <v>383</v>
      </c>
      <c r="AF19" s="76">
        <v>1</v>
      </c>
      <c r="AG19" s="75" t="s">
        <v>418</v>
      </c>
      <c r="AH19" s="76">
        <v>70</v>
      </c>
      <c r="AJ19" s="77" t="s">
        <v>685</v>
      </c>
      <c r="AK19" s="87"/>
      <c r="AL19" s="78" t="s">
        <v>366</v>
      </c>
      <c r="AM19" s="79">
        <v>1</v>
      </c>
      <c r="AN19" s="78"/>
      <c r="AO19" s="78"/>
      <c r="AP19" s="79"/>
      <c r="AQ19" s="80" t="s">
        <v>698</v>
      </c>
      <c r="AR19" s="80" t="s">
        <v>394</v>
      </c>
      <c r="AS19" s="81" t="s">
        <v>433</v>
      </c>
      <c r="AT19" s="80" t="s">
        <v>410</v>
      </c>
      <c r="AU19" s="80" t="s">
        <v>334</v>
      </c>
      <c r="AV19" s="82">
        <v>49</v>
      </c>
      <c r="AW19" s="80" t="s">
        <v>379</v>
      </c>
      <c r="AX19" s="80" t="s">
        <v>432</v>
      </c>
      <c r="AY19" s="83" t="s">
        <v>387</v>
      </c>
    </row>
    <row r="20" spans="1:51" x14ac:dyDescent="0.25">
      <c r="A20" s="75" t="s">
        <v>380</v>
      </c>
      <c r="B20" s="76">
        <v>19</v>
      </c>
      <c r="C20" s="76">
        <v>813</v>
      </c>
      <c r="D20" s="76">
        <v>0</v>
      </c>
      <c r="E20" s="85">
        <v>45975</v>
      </c>
      <c r="F20" s="76">
        <v>284</v>
      </c>
      <c r="G20" s="75" t="s">
        <v>448</v>
      </c>
      <c r="H20" s="75" t="s">
        <v>469</v>
      </c>
      <c r="I20" s="75" t="s">
        <v>470</v>
      </c>
      <c r="J20" s="75" t="s">
        <v>471</v>
      </c>
      <c r="K20" s="68">
        <v>640</v>
      </c>
      <c r="L20" s="86"/>
      <c r="M20" s="68">
        <v>640</v>
      </c>
      <c r="N20" s="85"/>
      <c r="O20" s="85">
        <v>46009</v>
      </c>
      <c r="P20" s="75" t="s">
        <v>31</v>
      </c>
      <c r="Q20" s="76">
        <v>8</v>
      </c>
      <c r="R20" s="76">
        <v>10</v>
      </c>
      <c r="S20" s="75" t="s">
        <v>37</v>
      </c>
      <c r="T20" s="75" t="s">
        <v>381</v>
      </c>
      <c r="U20" s="75" t="s">
        <v>415</v>
      </c>
      <c r="V20" s="75" t="s">
        <v>416</v>
      </c>
      <c r="W20" s="75" t="s">
        <v>449</v>
      </c>
      <c r="X20" s="75" t="s">
        <v>450</v>
      </c>
      <c r="Y20" s="76">
        <v>4</v>
      </c>
      <c r="Z20" s="75" t="s">
        <v>425</v>
      </c>
      <c r="AA20" s="76">
        <v>199</v>
      </c>
      <c r="AB20" s="75" t="s">
        <v>472</v>
      </c>
      <c r="AC20" s="76">
        <v>120</v>
      </c>
      <c r="AD20" s="76">
        <v>4</v>
      </c>
      <c r="AE20" s="75" t="s">
        <v>384</v>
      </c>
      <c r="AF20" s="76">
        <v>1</v>
      </c>
      <c r="AG20" s="75" t="s">
        <v>418</v>
      </c>
      <c r="AH20" s="76">
        <v>2</v>
      </c>
      <c r="AJ20" s="77" t="s">
        <v>723</v>
      </c>
      <c r="AK20" s="87"/>
      <c r="AL20" s="78" t="s">
        <v>366</v>
      </c>
      <c r="AM20" s="79">
        <v>1</v>
      </c>
      <c r="AN20" s="78"/>
      <c r="AO20" s="78"/>
      <c r="AP20" s="79"/>
      <c r="AQ20" s="80" t="s">
        <v>770</v>
      </c>
      <c r="AR20" s="80" t="s">
        <v>394</v>
      </c>
      <c r="AS20" s="81" t="s">
        <v>398</v>
      </c>
      <c r="AT20" s="80" t="s">
        <v>431</v>
      </c>
      <c r="AU20" s="80" t="s">
        <v>395</v>
      </c>
      <c r="AV20" s="82">
        <v>0</v>
      </c>
      <c r="AW20" s="80" t="s">
        <v>379</v>
      </c>
      <c r="AX20" s="80" t="s">
        <v>432</v>
      </c>
      <c r="AY20" s="83" t="s">
        <v>387</v>
      </c>
    </row>
    <row r="21" spans="1:51" x14ac:dyDescent="0.25">
      <c r="A21" s="75" t="s">
        <v>380</v>
      </c>
      <c r="B21" s="76">
        <v>20</v>
      </c>
      <c r="C21" s="76">
        <v>813</v>
      </c>
      <c r="D21" s="76">
        <v>0</v>
      </c>
      <c r="E21" s="85">
        <v>45975</v>
      </c>
      <c r="F21" s="76">
        <v>284</v>
      </c>
      <c r="G21" s="75" t="s">
        <v>448</v>
      </c>
      <c r="H21" s="75" t="s">
        <v>510</v>
      </c>
      <c r="I21" s="75" t="s">
        <v>508</v>
      </c>
      <c r="J21" s="75" t="s">
        <v>471</v>
      </c>
      <c r="K21" s="68">
        <v>0.5</v>
      </c>
      <c r="L21" s="86"/>
      <c r="M21" s="68">
        <v>0.5</v>
      </c>
      <c r="N21" s="85"/>
      <c r="O21" s="85">
        <v>46009</v>
      </c>
      <c r="P21" s="75" t="s">
        <v>31</v>
      </c>
      <c r="Q21" s="76">
        <v>8</v>
      </c>
      <c r="R21" s="76">
        <v>10</v>
      </c>
      <c r="S21" s="75" t="s">
        <v>509</v>
      </c>
      <c r="T21" s="75" t="s">
        <v>381</v>
      </c>
      <c r="U21" s="75" t="s">
        <v>415</v>
      </c>
      <c r="V21" s="75" t="s">
        <v>416</v>
      </c>
      <c r="W21" s="75" t="s">
        <v>449</v>
      </c>
      <c r="X21" s="75" t="s">
        <v>450</v>
      </c>
      <c r="Y21" s="76">
        <v>4</v>
      </c>
      <c r="Z21" s="75" t="s">
        <v>425</v>
      </c>
      <c r="AA21" s="76">
        <v>199</v>
      </c>
      <c r="AB21" s="75" t="s">
        <v>472</v>
      </c>
      <c r="AC21" s="76">
        <v>120</v>
      </c>
      <c r="AD21" s="76">
        <v>4</v>
      </c>
      <c r="AE21" s="75" t="s">
        <v>384</v>
      </c>
      <c r="AF21" s="76">
        <v>1</v>
      </c>
      <c r="AG21" s="75" t="s">
        <v>418</v>
      </c>
      <c r="AH21" s="76">
        <v>2</v>
      </c>
      <c r="AJ21" s="77" t="s">
        <v>723</v>
      </c>
      <c r="AK21" s="87"/>
      <c r="AL21" s="78" t="s">
        <v>366</v>
      </c>
      <c r="AM21" s="79">
        <v>1</v>
      </c>
      <c r="AN21" s="78"/>
      <c r="AO21" s="78"/>
      <c r="AP21" s="79"/>
      <c r="AQ21" s="80" t="s">
        <v>770</v>
      </c>
      <c r="AR21" s="80" t="s">
        <v>394</v>
      </c>
      <c r="AS21" s="81" t="s">
        <v>398</v>
      </c>
      <c r="AT21" s="80" t="s">
        <v>410</v>
      </c>
      <c r="AU21" s="80" t="s">
        <v>395</v>
      </c>
      <c r="AV21" s="82">
        <v>0</v>
      </c>
      <c r="AW21" s="80" t="s">
        <v>379</v>
      </c>
      <c r="AX21" s="80" t="s">
        <v>432</v>
      </c>
      <c r="AY21" s="83" t="s">
        <v>387</v>
      </c>
    </row>
    <row r="22" spans="1:51" x14ac:dyDescent="0.25">
      <c r="A22" s="75" t="s">
        <v>380</v>
      </c>
      <c r="B22" s="76">
        <v>21</v>
      </c>
      <c r="C22" s="76">
        <v>814</v>
      </c>
      <c r="D22" s="76">
        <v>0</v>
      </c>
      <c r="E22" s="85">
        <v>45975</v>
      </c>
      <c r="F22" s="76">
        <v>284</v>
      </c>
      <c r="G22" s="75" t="s">
        <v>448</v>
      </c>
      <c r="H22" s="75" t="s">
        <v>478</v>
      </c>
      <c r="I22" s="75" t="s">
        <v>479</v>
      </c>
      <c r="J22" s="75" t="s">
        <v>480</v>
      </c>
      <c r="K22" s="68">
        <v>640</v>
      </c>
      <c r="L22" s="86"/>
      <c r="M22" s="68">
        <v>640</v>
      </c>
      <c r="N22" s="85"/>
      <c r="O22" s="85">
        <v>46009</v>
      </c>
      <c r="P22" s="75" t="s">
        <v>31</v>
      </c>
      <c r="Q22" s="76">
        <v>8</v>
      </c>
      <c r="R22" s="76">
        <v>10</v>
      </c>
      <c r="S22" s="75" t="s">
        <v>37</v>
      </c>
      <c r="T22" s="75" t="s">
        <v>381</v>
      </c>
      <c r="U22" s="75" t="s">
        <v>415</v>
      </c>
      <c r="V22" s="75" t="s">
        <v>416</v>
      </c>
      <c r="W22" s="75" t="s">
        <v>449</v>
      </c>
      <c r="X22" s="75" t="s">
        <v>450</v>
      </c>
      <c r="Y22" s="76">
        <v>5</v>
      </c>
      <c r="Z22" s="75" t="s">
        <v>425</v>
      </c>
      <c r="AA22" s="76">
        <v>208</v>
      </c>
      <c r="AB22" s="75" t="s">
        <v>426</v>
      </c>
      <c r="AC22" s="76">
        <v>120</v>
      </c>
      <c r="AD22" s="76">
        <v>5</v>
      </c>
      <c r="AE22" s="75" t="s">
        <v>383</v>
      </c>
      <c r="AF22" s="76">
        <v>1</v>
      </c>
      <c r="AG22" s="75" t="s">
        <v>418</v>
      </c>
      <c r="AH22" s="76">
        <v>2</v>
      </c>
      <c r="AJ22" s="77" t="s">
        <v>724</v>
      </c>
      <c r="AK22" s="87"/>
      <c r="AL22" s="78" t="s">
        <v>366</v>
      </c>
      <c r="AM22" s="79">
        <v>1</v>
      </c>
      <c r="AN22" s="78"/>
      <c r="AO22" s="78"/>
      <c r="AP22" s="79"/>
      <c r="AQ22" s="80" t="s">
        <v>771</v>
      </c>
      <c r="AR22" s="80" t="s">
        <v>394</v>
      </c>
      <c r="AS22" s="81" t="s">
        <v>433</v>
      </c>
      <c r="AT22" s="80" t="s">
        <v>431</v>
      </c>
      <c r="AU22" s="80" t="s">
        <v>395</v>
      </c>
      <c r="AV22" s="82">
        <v>0</v>
      </c>
      <c r="AW22" s="80" t="s">
        <v>379</v>
      </c>
      <c r="AX22" s="80" t="s">
        <v>432</v>
      </c>
      <c r="AY22" s="83" t="s">
        <v>387</v>
      </c>
    </row>
    <row r="23" spans="1:51" x14ac:dyDescent="0.25">
      <c r="A23" s="75" t="s">
        <v>380</v>
      </c>
      <c r="B23" s="76">
        <v>22</v>
      </c>
      <c r="C23" s="76">
        <v>814</v>
      </c>
      <c r="D23" s="76">
        <v>0</v>
      </c>
      <c r="E23" s="85">
        <v>45975</v>
      </c>
      <c r="F23" s="76">
        <v>284</v>
      </c>
      <c r="G23" s="75" t="s">
        <v>448</v>
      </c>
      <c r="H23" s="75" t="s">
        <v>538</v>
      </c>
      <c r="I23" s="75" t="s">
        <v>539</v>
      </c>
      <c r="J23" s="75" t="s">
        <v>480</v>
      </c>
      <c r="K23" s="68">
        <v>0.5</v>
      </c>
      <c r="L23" s="86"/>
      <c r="M23" s="68">
        <v>0.5</v>
      </c>
      <c r="N23" s="85"/>
      <c r="O23" s="85">
        <v>46009</v>
      </c>
      <c r="P23" s="75" t="s">
        <v>31</v>
      </c>
      <c r="Q23" s="76">
        <v>8</v>
      </c>
      <c r="R23" s="76">
        <v>10</v>
      </c>
      <c r="S23" s="75" t="s">
        <v>509</v>
      </c>
      <c r="T23" s="75" t="s">
        <v>381</v>
      </c>
      <c r="U23" s="75" t="s">
        <v>415</v>
      </c>
      <c r="V23" s="75" t="s">
        <v>416</v>
      </c>
      <c r="W23" s="75" t="s">
        <v>449</v>
      </c>
      <c r="X23" s="75" t="s">
        <v>450</v>
      </c>
      <c r="Y23" s="76">
        <v>5</v>
      </c>
      <c r="Z23" s="75" t="s">
        <v>425</v>
      </c>
      <c r="AA23" s="76">
        <v>208</v>
      </c>
      <c r="AB23" s="75" t="s">
        <v>426</v>
      </c>
      <c r="AC23" s="76">
        <v>120</v>
      </c>
      <c r="AD23" s="76">
        <v>5</v>
      </c>
      <c r="AE23" s="75" t="s">
        <v>383</v>
      </c>
      <c r="AF23" s="76">
        <v>1</v>
      </c>
      <c r="AG23" s="75" t="s">
        <v>418</v>
      </c>
      <c r="AH23" s="76">
        <v>2</v>
      </c>
      <c r="AJ23" s="77" t="s">
        <v>724</v>
      </c>
      <c r="AK23" s="87"/>
      <c r="AL23" s="78" t="s">
        <v>366</v>
      </c>
      <c r="AM23" s="79">
        <v>1</v>
      </c>
      <c r="AN23" s="78"/>
      <c r="AO23" s="78"/>
      <c r="AP23" s="79"/>
      <c r="AQ23" s="80" t="s">
        <v>771</v>
      </c>
      <c r="AR23" s="80" t="s">
        <v>394</v>
      </c>
      <c r="AS23" s="81" t="s">
        <v>433</v>
      </c>
      <c r="AT23" s="80" t="s">
        <v>410</v>
      </c>
      <c r="AU23" s="80" t="s">
        <v>395</v>
      </c>
      <c r="AV23" s="82">
        <v>0</v>
      </c>
      <c r="AW23" s="80" t="s">
        <v>379</v>
      </c>
      <c r="AX23" s="80" t="s">
        <v>432</v>
      </c>
      <c r="AY23" s="83" t="s">
        <v>387</v>
      </c>
    </row>
    <row r="24" spans="1:51" x14ac:dyDescent="0.25">
      <c r="A24" s="75" t="s">
        <v>380</v>
      </c>
      <c r="B24" s="76">
        <v>23</v>
      </c>
      <c r="C24" s="76">
        <v>776</v>
      </c>
      <c r="D24" s="76">
        <v>0</v>
      </c>
      <c r="E24" s="85">
        <v>45958</v>
      </c>
      <c r="F24" s="76">
        <v>343</v>
      </c>
      <c r="G24" s="75" t="s">
        <v>519</v>
      </c>
      <c r="H24" s="75" t="s">
        <v>520</v>
      </c>
      <c r="I24" s="75" t="s">
        <v>521</v>
      </c>
      <c r="J24" s="75" t="s">
        <v>522</v>
      </c>
      <c r="K24" s="68">
        <v>1000</v>
      </c>
      <c r="L24" s="86"/>
      <c r="M24" s="68">
        <v>1000</v>
      </c>
      <c r="N24" s="85"/>
      <c r="O24" s="85">
        <v>46029</v>
      </c>
      <c r="P24" s="75" t="s">
        <v>30</v>
      </c>
      <c r="Q24" s="76">
        <v>8</v>
      </c>
      <c r="R24" s="76">
        <v>10</v>
      </c>
      <c r="S24" s="75" t="s">
        <v>243</v>
      </c>
      <c r="T24" s="75" t="s">
        <v>381</v>
      </c>
      <c r="U24" s="75" t="s">
        <v>415</v>
      </c>
      <c r="V24" s="75" t="s">
        <v>416</v>
      </c>
      <c r="W24" s="75" t="s">
        <v>519</v>
      </c>
      <c r="X24" s="75" t="s">
        <v>523</v>
      </c>
      <c r="Y24" s="76">
        <v>5</v>
      </c>
      <c r="Z24" s="75" t="s">
        <v>419</v>
      </c>
      <c r="AA24" s="76">
        <v>870</v>
      </c>
      <c r="AB24" s="75" t="s">
        <v>420</v>
      </c>
      <c r="AC24" s="76">
        <v>235</v>
      </c>
      <c r="AD24" s="76">
        <v>5</v>
      </c>
      <c r="AE24" s="75" t="s">
        <v>383</v>
      </c>
      <c r="AF24" s="76">
        <v>1</v>
      </c>
      <c r="AG24" s="75" t="s">
        <v>418</v>
      </c>
      <c r="AH24" s="76">
        <v>1</v>
      </c>
      <c r="AJ24" s="77" t="s">
        <v>524</v>
      </c>
      <c r="AK24" s="87"/>
      <c r="AL24" s="78" t="s">
        <v>366</v>
      </c>
      <c r="AM24" s="79">
        <v>1</v>
      </c>
      <c r="AN24" s="78" t="s">
        <v>347</v>
      </c>
      <c r="AO24" s="78" t="s">
        <v>334</v>
      </c>
      <c r="AP24" s="79">
        <v>5</v>
      </c>
      <c r="AQ24" s="80" t="s">
        <v>533</v>
      </c>
      <c r="AR24" s="80" t="s">
        <v>394</v>
      </c>
      <c r="AS24" s="81" t="s">
        <v>433</v>
      </c>
      <c r="AT24" s="80" t="s">
        <v>534</v>
      </c>
      <c r="AU24" s="80" t="s">
        <v>395</v>
      </c>
      <c r="AV24" s="82">
        <v>0</v>
      </c>
      <c r="AW24" s="80" t="s">
        <v>379</v>
      </c>
      <c r="AX24" s="80" t="s">
        <v>432</v>
      </c>
      <c r="AY24" s="83" t="s">
        <v>387</v>
      </c>
    </row>
    <row r="25" spans="1:51" x14ac:dyDescent="0.25">
      <c r="A25" s="75" t="s">
        <v>380</v>
      </c>
      <c r="B25" s="76">
        <v>25</v>
      </c>
      <c r="C25" s="76">
        <v>777</v>
      </c>
      <c r="D25" s="76">
        <v>0</v>
      </c>
      <c r="E25" s="85">
        <v>45958</v>
      </c>
      <c r="F25" s="76">
        <v>343</v>
      </c>
      <c r="G25" s="75" t="s">
        <v>519</v>
      </c>
      <c r="H25" s="75" t="s">
        <v>525</v>
      </c>
      <c r="I25" s="75" t="s">
        <v>526</v>
      </c>
      <c r="J25" s="75" t="s">
        <v>527</v>
      </c>
      <c r="K25" s="68">
        <v>1000</v>
      </c>
      <c r="L25" s="86"/>
      <c r="M25" s="68">
        <v>1000</v>
      </c>
      <c r="N25" s="85"/>
      <c r="O25" s="85">
        <v>46029</v>
      </c>
      <c r="P25" s="75" t="s">
        <v>30</v>
      </c>
      <c r="Q25" s="76">
        <v>8</v>
      </c>
      <c r="R25" s="76">
        <v>10</v>
      </c>
      <c r="S25" s="75" t="s">
        <v>243</v>
      </c>
      <c r="T25" s="75" t="s">
        <v>381</v>
      </c>
      <c r="U25" s="75" t="s">
        <v>415</v>
      </c>
      <c r="V25" s="75" t="s">
        <v>416</v>
      </c>
      <c r="W25" s="75" t="s">
        <v>519</v>
      </c>
      <c r="X25" s="75" t="s">
        <v>523</v>
      </c>
      <c r="Y25" s="76">
        <v>5</v>
      </c>
      <c r="Z25" s="75" t="s">
        <v>419</v>
      </c>
      <c r="AA25" s="76">
        <v>870</v>
      </c>
      <c r="AB25" s="75" t="s">
        <v>420</v>
      </c>
      <c r="AC25" s="76">
        <v>235</v>
      </c>
      <c r="AD25" s="76">
        <v>5</v>
      </c>
      <c r="AE25" s="75" t="s">
        <v>383</v>
      </c>
      <c r="AF25" s="76">
        <v>1</v>
      </c>
      <c r="AG25" s="75" t="s">
        <v>418</v>
      </c>
      <c r="AH25" s="76">
        <v>1</v>
      </c>
      <c r="AJ25" s="77" t="s">
        <v>524</v>
      </c>
      <c r="AK25" s="87"/>
      <c r="AL25" s="78" t="s">
        <v>366</v>
      </c>
      <c r="AM25" s="79">
        <v>1</v>
      </c>
      <c r="AN25" s="78" t="s">
        <v>347</v>
      </c>
      <c r="AO25" s="78" t="s">
        <v>334</v>
      </c>
      <c r="AP25" s="79">
        <v>5</v>
      </c>
      <c r="AQ25" s="80" t="s">
        <v>535</v>
      </c>
      <c r="AR25" s="80" t="s">
        <v>394</v>
      </c>
      <c r="AS25" s="81" t="s">
        <v>433</v>
      </c>
      <c r="AT25" s="80" t="s">
        <v>534</v>
      </c>
      <c r="AU25" s="80" t="s">
        <v>395</v>
      </c>
      <c r="AV25" s="82">
        <v>0</v>
      </c>
      <c r="AW25" s="80" t="s">
        <v>379</v>
      </c>
      <c r="AX25" s="80" t="s">
        <v>432</v>
      </c>
      <c r="AY25" s="83" t="s">
        <v>387</v>
      </c>
    </row>
    <row r="26" spans="1:51" x14ac:dyDescent="0.25">
      <c r="A26" s="75" t="s">
        <v>380</v>
      </c>
      <c r="B26" s="76">
        <v>27</v>
      </c>
      <c r="C26" s="76">
        <v>778</v>
      </c>
      <c r="D26" s="76">
        <v>0</v>
      </c>
      <c r="E26" s="85">
        <v>45958</v>
      </c>
      <c r="F26" s="76">
        <v>343</v>
      </c>
      <c r="G26" s="75" t="s">
        <v>519</v>
      </c>
      <c r="H26" s="75" t="s">
        <v>528</v>
      </c>
      <c r="I26" s="75" t="s">
        <v>529</v>
      </c>
      <c r="J26" s="75" t="s">
        <v>530</v>
      </c>
      <c r="K26" s="68">
        <v>640</v>
      </c>
      <c r="L26" s="86"/>
      <c r="M26" s="68">
        <v>640</v>
      </c>
      <c r="N26" s="85"/>
      <c r="O26" s="85">
        <v>46029</v>
      </c>
      <c r="P26" s="75" t="s">
        <v>30</v>
      </c>
      <c r="Q26" s="76">
        <v>8</v>
      </c>
      <c r="R26" s="76">
        <v>10</v>
      </c>
      <c r="S26" s="75" t="s">
        <v>39</v>
      </c>
      <c r="T26" s="75" t="s">
        <v>381</v>
      </c>
      <c r="U26" s="75" t="s">
        <v>415</v>
      </c>
      <c r="V26" s="75" t="s">
        <v>416</v>
      </c>
      <c r="W26" s="75" t="s">
        <v>519</v>
      </c>
      <c r="X26" s="75" t="s">
        <v>523</v>
      </c>
      <c r="Y26" s="76">
        <v>5</v>
      </c>
      <c r="Z26" s="75" t="s">
        <v>425</v>
      </c>
      <c r="AA26" s="76">
        <v>208</v>
      </c>
      <c r="AB26" s="75" t="s">
        <v>426</v>
      </c>
      <c r="AC26" s="76">
        <v>120</v>
      </c>
      <c r="AD26" s="76">
        <v>5</v>
      </c>
      <c r="AE26" s="75" t="s">
        <v>383</v>
      </c>
      <c r="AF26" s="76">
        <v>1</v>
      </c>
      <c r="AG26" s="75" t="s">
        <v>418</v>
      </c>
      <c r="AH26" s="76">
        <v>1</v>
      </c>
      <c r="AJ26" s="77" t="s">
        <v>524</v>
      </c>
      <c r="AK26" s="87"/>
      <c r="AL26" s="78" t="s">
        <v>366</v>
      </c>
      <c r="AM26" s="79">
        <v>1</v>
      </c>
      <c r="AN26" s="78" t="s">
        <v>347</v>
      </c>
      <c r="AO26" s="78" t="s">
        <v>334</v>
      </c>
      <c r="AP26" s="79">
        <v>5</v>
      </c>
      <c r="AQ26" s="80" t="s">
        <v>536</v>
      </c>
      <c r="AR26" s="80" t="s">
        <v>394</v>
      </c>
      <c r="AS26" s="81" t="s">
        <v>433</v>
      </c>
      <c r="AT26" s="80" t="s">
        <v>537</v>
      </c>
      <c r="AU26" s="80" t="s">
        <v>395</v>
      </c>
      <c r="AV26" s="82">
        <v>0</v>
      </c>
      <c r="AW26" s="80" t="s">
        <v>379</v>
      </c>
      <c r="AX26" s="80" t="s">
        <v>432</v>
      </c>
      <c r="AY26" s="83" t="s">
        <v>387</v>
      </c>
    </row>
    <row r="27" spans="1:51" x14ac:dyDescent="0.25">
      <c r="A27" s="75" t="s">
        <v>380</v>
      </c>
      <c r="B27" s="76">
        <v>29</v>
      </c>
      <c r="C27" s="76">
        <v>791</v>
      </c>
      <c r="D27" s="76">
        <v>0</v>
      </c>
      <c r="E27" s="85">
        <v>45967</v>
      </c>
      <c r="F27" s="76">
        <v>343</v>
      </c>
      <c r="G27" s="75" t="s">
        <v>519</v>
      </c>
      <c r="H27" s="75" t="s">
        <v>630</v>
      </c>
      <c r="I27" s="75" t="s">
        <v>631</v>
      </c>
      <c r="J27" s="75" t="s">
        <v>632</v>
      </c>
      <c r="K27" s="68">
        <v>500</v>
      </c>
      <c r="L27" s="86"/>
      <c r="M27" s="68">
        <v>500</v>
      </c>
      <c r="N27" s="85"/>
      <c r="O27" s="85">
        <v>46029</v>
      </c>
      <c r="P27" s="75" t="s">
        <v>30</v>
      </c>
      <c r="Q27" s="76">
        <v>8</v>
      </c>
      <c r="R27" s="76">
        <v>10</v>
      </c>
      <c r="S27" s="75" t="s">
        <v>243</v>
      </c>
      <c r="T27" s="75" t="s">
        <v>381</v>
      </c>
      <c r="U27" s="75" t="s">
        <v>415</v>
      </c>
      <c r="V27" s="75" t="s">
        <v>416</v>
      </c>
      <c r="W27" s="75" t="s">
        <v>519</v>
      </c>
      <c r="X27" s="75" t="s">
        <v>523</v>
      </c>
      <c r="Y27" s="76">
        <v>5</v>
      </c>
      <c r="Z27" s="75" t="s">
        <v>419</v>
      </c>
      <c r="AA27" s="76">
        <v>873</v>
      </c>
      <c r="AB27" s="75" t="s">
        <v>633</v>
      </c>
      <c r="AC27" s="76">
        <v>235</v>
      </c>
      <c r="AD27" s="76">
        <v>5</v>
      </c>
      <c r="AE27" s="75" t="s">
        <v>383</v>
      </c>
      <c r="AF27" s="76">
        <v>4</v>
      </c>
      <c r="AG27" s="75" t="s">
        <v>428</v>
      </c>
      <c r="AH27" s="76">
        <v>1</v>
      </c>
      <c r="AJ27" s="77" t="s">
        <v>524</v>
      </c>
      <c r="AK27" s="87"/>
      <c r="AL27" s="78" t="s">
        <v>366</v>
      </c>
      <c r="AM27" s="79">
        <v>1</v>
      </c>
      <c r="AN27" s="78" t="s">
        <v>347</v>
      </c>
      <c r="AO27" s="78" t="s">
        <v>334</v>
      </c>
      <c r="AP27" s="79">
        <v>5</v>
      </c>
      <c r="AQ27" s="80" t="s">
        <v>647</v>
      </c>
      <c r="AR27" s="80" t="s">
        <v>394</v>
      </c>
      <c r="AS27" s="81" t="s">
        <v>433</v>
      </c>
      <c r="AT27" s="80" t="s">
        <v>534</v>
      </c>
      <c r="AU27" s="80" t="s">
        <v>395</v>
      </c>
      <c r="AV27" s="82">
        <v>0</v>
      </c>
      <c r="AW27" s="80" t="s">
        <v>379</v>
      </c>
      <c r="AX27" s="80" t="s">
        <v>432</v>
      </c>
      <c r="AY27" s="83" t="s">
        <v>387</v>
      </c>
    </row>
    <row r="28" spans="1:51" x14ac:dyDescent="0.25">
      <c r="A28" s="75" t="s">
        <v>380</v>
      </c>
      <c r="B28" s="76">
        <v>31</v>
      </c>
      <c r="C28" s="76">
        <v>792</v>
      </c>
      <c r="D28" s="76">
        <v>0</v>
      </c>
      <c r="E28" s="85">
        <v>45967</v>
      </c>
      <c r="F28" s="76">
        <v>343</v>
      </c>
      <c r="G28" s="75" t="s">
        <v>519</v>
      </c>
      <c r="H28" s="75" t="s">
        <v>634</v>
      </c>
      <c r="I28" s="75" t="s">
        <v>635</v>
      </c>
      <c r="J28" s="75" t="s">
        <v>636</v>
      </c>
      <c r="K28" s="68">
        <v>1000</v>
      </c>
      <c r="L28" s="86"/>
      <c r="M28" s="68">
        <v>1000</v>
      </c>
      <c r="N28" s="85"/>
      <c r="O28" s="85">
        <v>46029</v>
      </c>
      <c r="P28" s="75" t="s">
        <v>30</v>
      </c>
      <c r="Q28" s="76"/>
      <c r="R28" s="76"/>
      <c r="S28" s="75" t="s">
        <v>243</v>
      </c>
      <c r="T28" s="75" t="s">
        <v>381</v>
      </c>
      <c r="U28" s="75" t="s">
        <v>415</v>
      </c>
      <c r="V28" s="75" t="s">
        <v>416</v>
      </c>
      <c r="W28" s="75" t="s">
        <v>519</v>
      </c>
      <c r="X28" s="75" t="s">
        <v>523</v>
      </c>
      <c r="Y28" s="76">
        <v>5</v>
      </c>
      <c r="Z28" s="75" t="s">
        <v>461</v>
      </c>
      <c r="AA28" s="76">
        <v>870</v>
      </c>
      <c r="AB28" s="75" t="s">
        <v>420</v>
      </c>
      <c r="AC28" s="76">
        <v>4</v>
      </c>
      <c r="AD28" s="76">
        <v>5</v>
      </c>
      <c r="AE28" s="75" t="s">
        <v>383</v>
      </c>
      <c r="AF28" s="76">
        <v>4</v>
      </c>
      <c r="AG28" s="75" t="s">
        <v>428</v>
      </c>
      <c r="AH28" s="76">
        <v>1</v>
      </c>
      <c r="AJ28" s="77" t="s">
        <v>524</v>
      </c>
      <c r="AK28" s="87"/>
      <c r="AL28" s="78" t="s">
        <v>366</v>
      </c>
      <c r="AM28" s="79">
        <v>1</v>
      </c>
      <c r="AN28" s="78" t="s">
        <v>347</v>
      </c>
      <c r="AO28" s="78" t="s">
        <v>334</v>
      </c>
      <c r="AP28" s="79">
        <v>5</v>
      </c>
      <c r="AQ28" s="80" t="s">
        <v>648</v>
      </c>
      <c r="AR28" s="80" t="s">
        <v>394</v>
      </c>
      <c r="AS28" s="81" t="s">
        <v>433</v>
      </c>
      <c r="AT28" s="80" t="s">
        <v>534</v>
      </c>
      <c r="AU28" s="80" t="s">
        <v>395</v>
      </c>
      <c r="AV28" s="82">
        <v>0</v>
      </c>
      <c r="AW28" s="80" t="s">
        <v>379</v>
      </c>
      <c r="AX28" s="80" t="s">
        <v>432</v>
      </c>
      <c r="AY28" s="83" t="s">
        <v>387</v>
      </c>
    </row>
    <row r="29" spans="1:51" x14ac:dyDescent="0.25">
      <c r="A29" s="75" t="s">
        <v>380</v>
      </c>
      <c r="B29" s="76">
        <v>37</v>
      </c>
      <c r="C29" s="76">
        <v>731</v>
      </c>
      <c r="D29" s="76">
        <v>0</v>
      </c>
      <c r="E29" s="85">
        <v>45925</v>
      </c>
      <c r="F29" s="76">
        <v>363</v>
      </c>
      <c r="G29" s="75" t="s">
        <v>341</v>
      </c>
      <c r="H29" s="75" t="s">
        <v>457</v>
      </c>
      <c r="I29" s="75" t="s">
        <v>458</v>
      </c>
      <c r="J29" s="75" t="s">
        <v>459</v>
      </c>
      <c r="K29" s="68">
        <v>10000</v>
      </c>
      <c r="L29" s="86"/>
      <c r="M29" s="68">
        <v>10000</v>
      </c>
      <c r="N29" s="85"/>
      <c r="O29" s="85">
        <v>46001</v>
      </c>
      <c r="P29" s="75" t="s">
        <v>30</v>
      </c>
      <c r="Q29" s="76">
        <v>8</v>
      </c>
      <c r="R29" s="76">
        <v>10</v>
      </c>
      <c r="S29" s="75" t="s">
        <v>362</v>
      </c>
      <c r="T29" s="75" t="s">
        <v>381</v>
      </c>
      <c r="U29" s="75" t="s">
        <v>415</v>
      </c>
      <c r="V29" s="75" t="s">
        <v>416</v>
      </c>
      <c r="W29" s="75" t="s">
        <v>424</v>
      </c>
      <c r="X29" s="75" t="s">
        <v>460</v>
      </c>
      <c r="Y29" s="76">
        <v>5</v>
      </c>
      <c r="Z29" s="75" t="s">
        <v>461</v>
      </c>
      <c r="AA29" s="76">
        <v>550</v>
      </c>
      <c r="AB29" s="75" t="s">
        <v>462</v>
      </c>
      <c r="AC29" s="76">
        <v>4</v>
      </c>
      <c r="AD29" s="76">
        <v>5</v>
      </c>
      <c r="AE29" s="75" t="s">
        <v>383</v>
      </c>
      <c r="AF29" s="76">
        <v>1</v>
      </c>
      <c r="AG29" s="75" t="s">
        <v>418</v>
      </c>
      <c r="AH29" s="76">
        <v>1</v>
      </c>
      <c r="AJ29" s="77" t="s">
        <v>463</v>
      </c>
      <c r="AK29" s="87"/>
      <c r="AL29" s="78" t="s">
        <v>366</v>
      </c>
      <c r="AM29" s="79">
        <v>1</v>
      </c>
      <c r="AN29" s="78" t="s">
        <v>347</v>
      </c>
      <c r="AO29" s="78" t="s">
        <v>334</v>
      </c>
      <c r="AP29" s="79">
        <v>5</v>
      </c>
      <c r="AQ29" s="80" t="s">
        <v>467</v>
      </c>
      <c r="AR29" s="80" t="s">
        <v>394</v>
      </c>
      <c r="AS29" s="81" t="s">
        <v>433</v>
      </c>
      <c r="AT29" s="80" t="s">
        <v>435</v>
      </c>
      <c r="AU29" s="80" t="s">
        <v>395</v>
      </c>
      <c r="AV29" s="82">
        <v>0</v>
      </c>
      <c r="AW29" s="80" t="s">
        <v>379</v>
      </c>
      <c r="AX29" s="80" t="s">
        <v>432</v>
      </c>
      <c r="AY29" s="83" t="s">
        <v>387</v>
      </c>
    </row>
    <row r="30" spans="1:51" x14ac:dyDescent="0.25">
      <c r="A30" s="75" t="s">
        <v>380</v>
      </c>
      <c r="B30" s="76">
        <v>38</v>
      </c>
      <c r="C30" s="76">
        <v>732</v>
      </c>
      <c r="D30" s="76">
        <v>0</v>
      </c>
      <c r="E30" s="85">
        <v>45925</v>
      </c>
      <c r="F30" s="76">
        <v>363</v>
      </c>
      <c r="G30" s="75" t="s">
        <v>341</v>
      </c>
      <c r="H30" s="75" t="s">
        <v>457</v>
      </c>
      <c r="I30" s="75" t="s">
        <v>458</v>
      </c>
      <c r="J30" s="75" t="s">
        <v>459</v>
      </c>
      <c r="K30" s="68">
        <v>20000</v>
      </c>
      <c r="L30" s="86"/>
      <c r="M30" s="68">
        <v>20000</v>
      </c>
      <c r="N30" s="85"/>
      <c r="O30" s="85">
        <v>46009</v>
      </c>
      <c r="P30" s="75" t="s">
        <v>30</v>
      </c>
      <c r="Q30" s="76">
        <v>8</v>
      </c>
      <c r="R30" s="76">
        <v>10</v>
      </c>
      <c r="S30" s="75" t="s">
        <v>362</v>
      </c>
      <c r="T30" s="75" t="s">
        <v>381</v>
      </c>
      <c r="U30" s="75" t="s">
        <v>415</v>
      </c>
      <c r="V30" s="75" t="s">
        <v>416</v>
      </c>
      <c r="W30" s="75" t="s">
        <v>424</v>
      </c>
      <c r="X30" s="75" t="s">
        <v>460</v>
      </c>
      <c r="Y30" s="76">
        <v>5</v>
      </c>
      <c r="Z30" s="75" t="s">
        <v>461</v>
      </c>
      <c r="AA30" s="76">
        <v>550</v>
      </c>
      <c r="AB30" s="75" t="s">
        <v>462</v>
      </c>
      <c r="AC30" s="76">
        <v>4</v>
      </c>
      <c r="AD30" s="76">
        <v>5</v>
      </c>
      <c r="AE30" s="75" t="s">
        <v>383</v>
      </c>
      <c r="AF30" s="76">
        <v>1</v>
      </c>
      <c r="AG30" s="75" t="s">
        <v>418</v>
      </c>
      <c r="AH30" s="76">
        <v>1</v>
      </c>
      <c r="AJ30" s="77" t="s">
        <v>463</v>
      </c>
      <c r="AK30" s="87"/>
      <c r="AL30" s="78" t="s">
        <v>366</v>
      </c>
      <c r="AM30" s="79">
        <v>1</v>
      </c>
      <c r="AN30" s="78" t="s">
        <v>347</v>
      </c>
      <c r="AO30" s="78" t="s">
        <v>334</v>
      </c>
      <c r="AP30" s="79">
        <v>5</v>
      </c>
      <c r="AQ30" s="80" t="s">
        <v>468</v>
      </c>
      <c r="AR30" s="80" t="s">
        <v>394</v>
      </c>
      <c r="AS30" s="81" t="s">
        <v>433</v>
      </c>
      <c r="AT30" s="80" t="s">
        <v>435</v>
      </c>
      <c r="AU30" s="80" t="s">
        <v>395</v>
      </c>
      <c r="AV30" s="82">
        <v>0</v>
      </c>
      <c r="AW30" s="80" t="s">
        <v>379</v>
      </c>
      <c r="AX30" s="80" t="s">
        <v>432</v>
      </c>
      <c r="AY30" s="83" t="s">
        <v>387</v>
      </c>
    </row>
    <row r="31" spans="1:51" x14ac:dyDescent="0.25">
      <c r="A31" s="75" t="s">
        <v>380</v>
      </c>
      <c r="B31" s="76">
        <v>39</v>
      </c>
      <c r="C31" s="76">
        <v>784</v>
      </c>
      <c r="D31" s="76">
        <v>0</v>
      </c>
      <c r="E31" s="85">
        <v>45965</v>
      </c>
      <c r="F31" s="76">
        <v>363</v>
      </c>
      <c r="G31" s="75" t="s">
        <v>341</v>
      </c>
      <c r="H31" s="75" t="s">
        <v>593</v>
      </c>
      <c r="I31" s="75" t="s">
        <v>594</v>
      </c>
      <c r="J31" s="75" t="s">
        <v>595</v>
      </c>
      <c r="K31" s="68">
        <v>3200</v>
      </c>
      <c r="L31" s="86"/>
      <c r="M31" s="68">
        <v>3200</v>
      </c>
      <c r="N31" s="85"/>
      <c r="O31" s="85">
        <v>46008</v>
      </c>
      <c r="P31" s="75" t="s">
        <v>30</v>
      </c>
      <c r="Q31" s="76"/>
      <c r="R31" s="76"/>
      <c r="S31" s="75" t="s">
        <v>39</v>
      </c>
      <c r="T31" s="75" t="s">
        <v>381</v>
      </c>
      <c r="U31" s="75" t="s">
        <v>415</v>
      </c>
      <c r="V31" s="75" t="s">
        <v>416</v>
      </c>
      <c r="W31" s="75" t="s">
        <v>424</v>
      </c>
      <c r="X31" s="75" t="s">
        <v>460</v>
      </c>
      <c r="Y31" s="76">
        <v>5</v>
      </c>
      <c r="Z31" s="75" t="s">
        <v>425</v>
      </c>
      <c r="AA31" s="76">
        <v>199</v>
      </c>
      <c r="AB31" s="75" t="s">
        <v>472</v>
      </c>
      <c r="AC31" s="76">
        <v>120</v>
      </c>
      <c r="AD31" s="76">
        <v>5</v>
      </c>
      <c r="AE31" s="75" t="s">
        <v>383</v>
      </c>
      <c r="AF31" s="76">
        <v>1</v>
      </c>
      <c r="AG31" s="75" t="s">
        <v>418</v>
      </c>
      <c r="AH31" s="76">
        <v>1</v>
      </c>
      <c r="AJ31" s="77" t="s">
        <v>596</v>
      </c>
      <c r="AK31" s="87"/>
      <c r="AL31" s="78" t="s">
        <v>366</v>
      </c>
      <c r="AM31" s="79">
        <v>1</v>
      </c>
      <c r="AN31" s="78" t="s">
        <v>347</v>
      </c>
      <c r="AO31" s="78" t="s">
        <v>334</v>
      </c>
      <c r="AP31" s="79">
        <v>5</v>
      </c>
      <c r="AQ31" s="80" t="s">
        <v>603</v>
      </c>
      <c r="AR31" s="80" t="s">
        <v>394</v>
      </c>
      <c r="AS31" s="81" t="s">
        <v>433</v>
      </c>
      <c r="AT31" s="80" t="s">
        <v>537</v>
      </c>
      <c r="AU31" s="80" t="s">
        <v>395</v>
      </c>
      <c r="AV31" s="82">
        <v>0</v>
      </c>
      <c r="AW31" s="80" t="s">
        <v>379</v>
      </c>
      <c r="AX31" s="80" t="s">
        <v>432</v>
      </c>
      <c r="AY31" s="83" t="s">
        <v>387</v>
      </c>
    </row>
    <row r="32" spans="1:51" x14ac:dyDescent="0.25">
      <c r="A32" s="75" t="s">
        <v>380</v>
      </c>
      <c r="B32" s="76">
        <v>41</v>
      </c>
      <c r="C32" s="76">
        <v>785</v>
      </c>
      <c r="D32" s="76">
        <v>0</v>
      </c>
      <c r="E32" s="85">
        <v>45965</v>
      </c>
      <c r="F32" s="76">
        <v>363</v>
      </c>
      <c r="G32" s="75" t="s">
        <v>341</v>
      </c>
      <c r="H32" s="75" t="s">
        <v>597</v>
      </c>
      <c r="I32" s="75" t="s">
        <v>598</v>
      </c>
      <c r="J32" s="75" t="s">
        <v>599</v>
      </c>
      <c r="K32" s="68">
        <v>1500</v>
      </c>
      <c r="L32" s="86"/>
      <c r="M32" s="68">
        <v>1500</v>
      </c>
      <c r="N32" s="85"/>
      <c r="O32" s="85">
        <v>46008</v>
      </c>
      <c r="P32" s="75" t="s">
        <v>30</v>
      </c>
      <c r="Q32" s="76">
        <v>8</v>
      </c>
      <c r="R32" s="76">
        <v>10</v>
      </c>
      <c r="S32" s="75" t="s">
        <v>42</v>
      </c>
      <c r="T32" s="75" t="s">
        <v>381</v>
      </c>
      <c r="U32" s="75" t="s">
        <v>415</v>
      </c>
      <c r="V32" s="75" t="s">
        <v>416</v>
      </c>
      <c r="W32" s="75" t="s">
        <v>424</v>
      </c>
      <c r="X32" s="75" t="s">
        <v>460</v>
      </c>
      <c r="Y32" s="76">
        <v>5</v>
      </c>
      <c r="Z32" s="75" t="s">
        <v>419</v>
      </c>
      <c r="AA32" s="76">
        <v>870</v>
      </c>
      <c r="AB32" s="75" t="s">
        <v>420</v>
      </c>
      <c r="AC32" s="76">
        <v>235</v>
      </c>
      <c r="AD32" s="76">
        <v>5</v>
      </c>
      <c r="AE32" s="75" t="s">
        <v>383</v>
      </c>
      <c r="AF32" s="76">
        <v>1</v>
      </c>
      <c r="AG32" s="75" t="s">
        <v>418</v>
      </c>
      <c r="AH32" s="76">
        <v>1</v>
      </c>
      <c r="AJ32" s="77" t="s">
        <v>596</v>
      </c>
      <c r="AK32" s="87"/>
      <c r="AL32" s="78" t="s">
        <v>366</v>
      </c>
      <c r="AM32" s="79">
        <v>1</v>
      </c>
      <c r="AN32" s="78" t="s">
        <v>347</v>
      </c>
      <c r="AO32" s="78" t="s">
        <v>334</v>
      </c>
      <c r="AP32" s="79">
        <v>5</v>
      </c>
      <c r="AQ32" s="80" t="s">
        <v>604</v>
      </c>
      <c r="AR32" s="80" t="s">
        <v>394</v>
      </c>
      <c r="AS32" s="81" t="s">
        <v>433</v>
      </c>
      <c r="AT32" s="80" t="s">
        <v>431</v>
      </c>
      <c r="AU32" s="80" t="s">
        <v>395</v>
      </c>
      <c r="AV32" s="82">
        <v>0</v>
      </c>
      <c r="AW32" s="80" t="s">
        <v>379</v>
      </c>
      <c r="AX32" s="80" t="s">
        <v>432</v>
      </c>
      <c r="AY32" s="83" t="s">
        <v>387</v>
      </c>
    </row>
    <row r="33" spans="1:51" x14ac:dyDescent="0.25">
      <c r="A33" s="75" t="s">
        <v>380</v>
      </c>
      <c r="B33" s="76">
        <v>43</v>
      </c>
      <c r="C33" s="76">
        <v>786</v>
      </c>
      <c r="D33" s="76">
        <v>0</v>
      </c>
      <c r="E33" s="85">
        <v>45965</v>
      </c>
      <c r="F33" s="76">
        <v>363</v>
      </c>
      <c r="G33" s="75" t="s">
        <v>341</v>
      </c>
      <c r="H33" s="75" t="s">
        <v>600</v>
      </c>
      <c r="I33" s="75" t="s">
        <v>601</v>
      </c>
      <c r="J33" s="75" t="s">
        <v>602</v>
      </c>
      <c r="K33" s="68">
        <v>2500</v>
      </c>
      <c r="L33" s="86"/>
      <c r="M33" s="68">
        <v>2500</v>
      </c>
      <c r="N33" s="85"/>
      <c r="O33" s="85">
        <v>46008</v>
      </c>
      <c r="P33" s="75" t="s">
        <v>30</v>
      </c>
      <c r="Q33" s="76">
        <v>8</v>
      </c>
      <c r="R33" s="76">
        <v>10</v>
      </c>
      <c r="S33" s="75" t="s">
        <v>42</v>
      </c>
      <c r="T33" s="75" t="s">
        <v>381</v>
      </c>
      <c r="U33" s="75" t="s">
        <v>415</v>
      </c>
      <c r="V33" s="75" t="s">
        <v>416</v>
      </c>
      <c r="W33" s="75" t="s">
        <v>424</v>
      </c>
      <c r="X33" s="75" t="s">
        <v>460</v>
      </c>
      <c r="Y33" s="76">
        <v>5</v>
      </c>
      <c r="Z33" s="75" t="s">
        <v>419</v>
      </c>
      <c r="AA33" s="76">
        <v>213</v>
      </c>
      <c r="AB33" s="75" t="s">
        <v>33</v>
      </c>
      <c r="AC33" s="76">
        <v>235</v>
      </c>
      <c r="AD33" s="76">
        <v>5</v>
      </c>
      <c r="AE33" s="75" t="s">
        <v>383</v>
      </c>
      <c r="AF33" s="76">
        <v>1</v>
      </c>
      <c r="AG33" s="75" t="s">
        <v>418</v>
      </c>
      <c r="AH33" s="76">
        <v>1</v>
      </c>
      <c r="AJ33" s="77" t="s">
        <v>596</v>
      </c>
      <c r="AK33" s="87"/>
      <c r="AL33" s="78" t="s">
        <v>366</v>
      </c>
      <c r="AM33" s="79">
        <v>1</v>
      </c>
      <c r="AN33" s="78" t="s">
        <v>347</v>
      </c>
      <c r="AO33" s="78" t="s">
        <v>334</v>
      </c>
      <c r="AP33" s="79">
        <v>5</v>
      </c>
      <c r="AQ33" s="80" t="s">
        <v>605</v>
      </c>
      <c r="AR33" s="80" t="s">
        <v>394</v>
      </c>
      <c r="AS33" s="81" t="s">
        <v>433</v>
      </c>
      <c r="AT33" s="80" t="s">
        <v>431</v>
      </c>
      <c r="AU33" s="80" t="s">
        <v>395</v>
      </c>
      <c r="AV33" s="82">
        <v>0</v>
      </c>
      <c r="AW33" s="80" t="s">
        <v>379</v>
      </c>
      <c r="AX33" s="80" t="s">
        <v>432</v>
      </c>
      <c r="AY33" s="83" t="s">
        <v>387</v>
      </c>
    </row>
    <row r="34" spans="1:51" x14ac:dyDescent="0.25">
      <c r="A34" s="75" t="s">
        <v>380</v>
      </c>
      <c r="B34" s="76">
        <v>45</v>
      </c>
      <c r="C34" s="76">
        <v>795</v>
      </c>
      <c r="D34" s="76">
        <v>0</v>
      </c>
      <c r="E34" s="85">
        <v>45968</v>
      </c>
      <c r="F34" s="76">
        <v>363</v>
      </c>
      <c r="G34" s="75" t="s">
        <v>341</v>
      </c>
      <c r="H34" s="75" t="s">
        <v>650</v>
      </c>
      <c r="I34" s="75" t="s">
        <v>651</v>
      </c>
      <c r="J34" s="75" t="s">
        <v>652</v>
      </c>
      <c r="K34" s="68">
        <v>1000</v>
      </c>
      <c r="L34" s="86"/>
      <c r="M34" s="68">
        <v>1000</v>
      </c>
      <c r="N34" s="85"/>
      <c r="O34" s="85">
        <v>46009</v>
      </c>
      <c r="P34" s="75" t="s">
        <v>30</v>
      </c>
      <c r="Q34" s="76">
        <v>8</v>
      </c>
      <c r="R34" s="76">
        <v>10</v>
      </c>
      <c r="S34" s="75" t="s">
        <v>42</v>
      </c>
      <c r="T34" s="75" t="s">
        <v>381</v>
      </c>
      <c r="U34" s="75" t="s">
        <v>415</v>
      </c>
      <c r="V34" s="75" t="s">
        <v>416</v>
      </c>
      <c r="W34" s="75" t="s">
        <v>424</v>
      </c>
      <c r="X34" s="75" t="s">
        <v>385</v>
      </c>
      <c r="Y34" s="76">
        <v>5</v>
      </c>
      <c r="Z34" s="75" t="s">
        <v>419</v>
      </c>
      <c r="AA34" s="76">
        <v>870</v>
      </c>
      <c r="AB34" s="75" t="s">
        <v>420</v>
      </c>
      <c r="AC34" s="76">
        <v>235</v>
      </c>
      <c r="AD34" s="76">
        <v>5</v>
      </c>
      <c r="AE34" s="75" t="s">
        <v>383</v>
      </c>
      <c r="AF34" s="76">
        <v>1</v>
      </c>
      <c r="AG34" s="75" t="s">
        <v>418</v>
      </c>
      <c r="AH34" s="76">
        <v>1</v>
      </c>
      <c r="AJ34" s="77" t="s">
        <v>653</v>
      </c>
      <c r="AK34" s="87"/>
      <c r="AL34" s="78" t="s">
        <v>366</v>
      </c>
      <c r="AM34" s="79">
        <v>1</v>
      </c>
      <c r="AN34" s="78" t="s">
        <v>347</v>
      </c>
      <c r="AO34" s="78" t="s">
        <v>334</v>
      </c>
      <c r="AP34" s="79">
        <v>5</v>
      </c>
      <c r="AQ34" s="80" t="s">
        <v>664</v>
      </c>
      <c r="AR34" s="80" t="s">
        <v>394</v>
      </c>
      <c r="AS34" s="81" t="s">
        <v>433</v>
      </c>
      <c r="AT34" s="80" t="s">
        <v>431</v>
      </c>
      <c r="AU34" s="80" t="s">
        <v>395</v>
      </c>
      <c r="AV34" s="82">
        <v>0</v>
      </c>
      <c r="AW34" s="80" t="s">
        <v>379</v>
      </c>
      <c r="AX34" s="80" t="s">
        <v>432</v>
      </c>
      <c r="AY34" s="83" t="s">
        <v>387</v>
      </c>
    </row>
    <row r="35" spans="1:51" x14ac:dyDescent="0.25">
      <c r="A35" s="75" t="s">
        <v>380</v>
      </c>
      <c r="B35" s="76">
        <v>47</v>
      </c>
      <c r="C35" s="76">
        <v>817</v>
      </c>
      <c r="D35" s="76">
        <v>0</v>
      </c>
      <c r="E35" s="85">
        <v>45979</v>
      </c>
      <c r="F35" s="76">
        <v>363</v>
      </c>
      <c r="G35" s="75" t="s">
        <v>341</v>
      </c>
      <c r="H35" s="75" t="s">
        <v>640</v>
      </c>
      <c r="I35" s="75" t="s">
        <v>784</v>
      </c>
      <c r="J35" s="75" t="s">
        <v>785</v>
      </c>
      <c r="K35" s="68">
        <v>3200</v>
      </c>
      <c r="L35" s="86"/>
      <c r="M35" s="68">
        <v>3200</v>
      </c>
      <c r="N35" s="85"/>
      <c r="O35" s="85">
        <v>46036</v>
      </c>
      <c r="P35" s="75" t="s">
        <v>30</v>
      </c>
      <c r="Q35" s="76"/>
      <c r="R35" s="76"/>
      <c r="S35" s="75" t="s">
        <v>39</v>
      </c>
      <c r="T35" s="75" t="s">
        <v>381</v>
      </c>
      <c r="U35" s="75" t="s">
        <v>415</v>
      </c>
      <c r="V35" s="75" t="s">
        <v>416</v>
      </c>
      <c r="W35" s="75" t="s">
        <v>786</v>
      </c>
      <c r="X35" s="75" t="s">
        <v>787</v>
      </c>
      <c r="Y35" s="76">
        <v>5</v>
      </c>
      <c r="Z35" s="75" t="s">
        <v>425</v>
      </c>
      <c r="AA35" s="76">
        <v>208</v>
      </c>
      <c r="AB35" s="75" t="s">
        <v>426</v>
      </c>
      <c r="AC35" s="76">
        <v>120</v>
      </c>
      <c r="AD35" s="76">
        <v>5</v>
      </c>
      <c r="AE35" s="75" t="s">
        <v>383</v>
      </c>
      <c r="AF35" s="76">
        <v>1</v>
      </c>
      <c r="AG35" s="75" t="s">
        <v>418</v>
      </c>
      <c r="AH35" s="76">
        <v>1</v>
      </c>
      <c r="AJ35" s="77" t="s">
        <v>788</v>
      </c>
      <c r="AK35" s="87"/>
      <c r="AL35" s="78" t="s">
        <v>366</v>
      </c>
      <c r="AM35" s="79">
        <v>1</v>
      </c>
      <c r="AN35" s="78" t="s">
        <v>347</v>
      </c>
      <c r="AO35" s="78" t="s">
        <v>334</v>
      </c>
      <c r="AP35" s="79">
        <v>5</v>
      </c>
      <c r="AQ35" s="80" t="s">
        <v>845</v>
      </c>
      <c r="AR35" s="80" t="s">
        <v>394</v>
      </c>
      <c r="AS35" s="81" t="s">
        <v>433</v>
      </c>
      <c r="AT35" s="80" t="s">
        <v>537</v>
      </c>
      <c r="AU35" s="80" t="s">
        <v>395</v>
      </c>
      <c r="AV35" s="82">
        <v>0</v>
      </c>
      <c r="AW35" s="80" t="s">
        <v>379</v>
      </c>
      <c r="AX35" s="80" t="s">
        <v>432</v>
      </c>
      <c r="AY35" s="83" t="s">
        <v>387</v>
      </c>
    </row>
    <row r="36" spans="1:51" x14ac:dyDescent="0.25">
      <c r="A36" s="75" t="s">
        <v>380</v>
      </c>
      <c r="B36" s="76">
        <v>49</v>
      </c>
      <c r="C36" s="76">
        <v>818</v>
      </c>
      <c r="D36" s="76">
        <v>0</v>
      </c>
      <c r="E36" s="85">
        <v>45979</v>
      </c>
      <c r="F36" s="76">
        <v>363</v>
      </c>
      <c r="G36" s="75" t="s">
        <v>341</v>
      </c>
      <c r="H36" s="75" t="s">
        <v>789</v>
      </c>
      <c r="I36" s="75" t="s">
        <v>790</v>
      </c>
      <c r="J36" s="75" t="s">
        <v>791</v>
      </c>
      <c r="K36" s="68">
        <v>1920</v>
      </c>
      <c r="L36" s="86"/>
      <c r="M36" s="68">
        <v>1920</v>
      </c>
      <c r="N36" s="85"/>
      <c r="O36" s="85"/>
      <c r="P36" s="75" t="s">
        <v>30</v>
      </c>
      <c r="Q36" s="76">
        <v>8</v>
      </c>
      <c r="R36" s="76">
        <v>10</v>
      </c>
      <c r="S36" s="75" t="s">
        <v>39</v>
      </c>
      <c r="T36" s="75" t="s">
        <v>381</v>
      </c>
      <c r="U36" s="75" t="s">
        <v>415</v>
      </c>
      <c r="V36" s="75" t="s">
        <v>416</v>
      </c>
      <c r="W36" s="75" t="s">
        <v>786</v>
      </c>
      <c r="X36" s="75" t="s">
        <v>787</v>
      </c>
      <c r="Y36" s="76">
        <v>5</v>
      </c>
      <c r="Z36" s="75" t="s">
        <v>425</v>
      </c>
      <c r="AA36" s="76">
        <v>208</v>
      </c>
      <c r="AB36" s="75" t="s">
        <v>426</v>
      </c>
      <c r="AC36" s="76">
        <v>120</v>
      </c>
      <c r="AD36" s="76">
        <v>5</v>
      </c>
      <c r="AE36" s="75" t="s">
        <v>383</v>
      </c>
      <c r="AF36" s="76">
        <v>1</v>
      </c>
      <c r="AG36" s="75" t="s">
        <v>418</v>
      </c>
      <c r="AH36" s="76">
        <v>1</v>
      </c>
      <c r="AJ36" s="77" t="s">
        <v>788</v>
      </c>
      <c r="AK36" s="87"/>
      <c r="AL36" s="78" t="s">
        <v>366</v>
      </c>
      <c r="AM36" s="79">
        <v>1</v>
      </c>
      <c r="AN36" s="78" t="s">
        <v>347</v>
      </c>
      <c r="AO36" s="78" t="s">
        <v>334</v>
      </c>
      <c r="AP36" s="79">
        <v>5</v>
      </c>
      <c r="AQ36" s="80" t="s">
        <v>846</v>
      </c>
      <c r="AR36" s="80" t="s">
        <v>394</v>
      </c>
      <c r="AS36" s="81" t="s">
        <v>433</v>
      </c>
      <c r="AT36" s="80" t="s">
        <v>537</v>
      </c>
      <c r="AU36" s="80" t="s">
        <v>395</v>
      </c>
      <c r="AV36" s="82">
        <v>0</v>
      </c>
      <c r="AW36" s="80" t="s">
        <v>564</v>
      </c>
      <c r="AX36" s="80" t="s">
        <v>432</v>
      </c>
      <c r="AY36" s="83" t="s">
        <v>387</v>
      </c>
    </row>
    <row r="37" spans="1:51" x14ac:dyDescent="0.25">
      <c r="A37" s="75" t="s">
        <v>380</v>
      </c>
      <c r="B37" s="76">
        <v>51</v>
      </c>
      <c r="C37" s="76">
        <v>819</v>
      </c>
      <c r="D37" s="76">
        <v>0</v>
      </c>
      <c r="E37" s="85">
        <v>45979</v>
      </c>
      <c r="F37" s="76">
        <v>363</v>
      </c>
      <c r="G37" s="75" t="s">
        <v>341</v>
      </c>
      <c r="H37" s="75" t="s">
        <v>792</v>
      </c>
      <c r="I37" s="75" t="s">
        <v>793</v>
      </c>
      <c r="J37" s="75" t="s">
        <v>794</v>
      </c>
      <c r="K37" s="68">
        <v>2304</v>
      </c>
      <c r="L37" s="86"/>
      <c r="M37" s="68">
        <v>2304</v>
      </c>
      <c r="N37" s="85"/>
      <c r="O37" s="85">
        <v>46036</v>
      </c>
      <c r="P37" s="75" t="s">
        <v>30</v>
      </c>
      <c r="Q37" s="76">
        <v>8</v>
      </c>
      <c r="R37" s="76">
        <v>10</v>
      </c>
      <c r="S37" s="75" t="s">
        <v>41</v>
      </c>
      <c r="T37" s="75" t="s">
        <v>381</v>
      </c>
      <c r="U37" s="75" t="s">
        <v>415</v>
      </c>
      <c r="V37" s="75" t="s">
        <v>416</v>
      </c>
      <c r="W37" s="75" t="s">
        <v>786</v>
      </c>
      <c r="X37" s="75" t="s">
        <v>787</v>
      </c>
      <c r="Y37" s="76">
        <v>5</v>
      </c>
      <c r="Z37" s="75" t="s">
        <v>669</v>
      </c>
      <c r="AA37" s="76">
        <v>202</v>
      </c>
      <c r="AB37" s="75" t="s">
        <v>795</v>
      </c>
      <c r="AC37" s="76">
        <v>125</v>
      </c>
      <c r="AD37" s="76">
        <v>5</v>
      </c>
      <c r="AE37" s="75" t="s">
        <v>383</v>
      </c>
      <c r="AF37" s="76">
        <v>1</v>
      </c>
      <c r="AG37" s="75" t="s">
        <v>418</v>
      </c>
      <c r="AH37" s="76">
        <v>1</v>
      </c>
      <c r="AJ37" s="77" t="s">
        <v>788</v>
      </c>
      <c r="AK37" s="87"/>
      <c r="AL37" s="78" t="s">
        <v>366</v>
      </c>
      <c r="AM37" s="79">
        <v>1</v>
      </c>
      <c r="AN37" s="78" t="s">
        <v>347</v>
      </c>
      <c r="AO37" s="78" t="s">
        <v>334</v>
      </c>
      <c r="AP37" s="79">
        <v>5</v>
      </c>
      <c r="AQ37" s="80" t="s">
        <v>847</v>
      </c>
      <c r="AR37" s="80" t="s">
        <v>394</v>
      </c>
      <c r="AS37" s="81" t="s">
        <v>433</v>
      </c>
      <c r="AT37" s="80" t="s">
        <v>848</v>
      </c>
      <c r="AU37" s="80" t="s">
        <v>395</v>
      </c>
      <c r="AV37" s="82">
        <v>0</v>
      </c>
      <c r="AW37" s="80" t="s">
        <v>379</v>
      </c>
      <c r="AX37" s="80" t="s">
        <v>432</v>
      </c>
      <c r="AY37" s="83" t="s">
        <v>387</v>
      </c>
    </row>
    <row r="38" spans="1:51" x14ac:dyDescent="0.25">
      <c r="A38" s="75" t="s">
        <v>380</v>
      </c>
      <c r="B38" s="76">
        <v>53</v>
      </c>
      <c r="C38" s="76">
        <v>820</v>
      </c>
      <c r="D38" s="76">
        <v>0</v>
      </c>
      <c r="E38" s="85">
        <v>45979</v>
      </c>
      <c r="F38" s="76">
        <v>363</v>
      </c>
      <c r="G38" s="75" t="s">
        <v>341</v>
      </c>
      <c r="H38" s="75" t="s">
        <v>796</v>
      </c>
      <c r="I38" s="75" t="s">
        <v>797</v>
      </c>
      <c r="J38" s="75" t="s">
        <v>798</v>
      </c>
      <c r="K38" s="68">
        <v>2560</v>
      </c>
      <c r="L38" s="86"/>
      <c r="M38" s="68">
        <v>2560</v>
      </c>
      <c r="N38" s="85"/>
      <c r="O38" s="85">
        <v>46036</v>
      </c>
      <c r="P38" s="75" t="s">
        <v>30</v>
      </c>
      <c r="Q38" s="76">
        <v>8</v>
      </c>
      <c r="R38" s="76">
        <v>10</v>
      </c>
      <c r="S38" s="75" t="s">
        <v>39</v>
      </c>
      <c r="T38" s="75" t="s">
        <v>381</v>
      </c>
      <c r="U38" s="75" t="s">
        <v>415</v>
      </c>
      <c r="V38" s="75" t="s">
        <v>416</v>
      </c>
      <c r="W38" s="75" t="s">
        <v>786</v>
      </c>
      <c r="X38" s="75" t="s">
        <v>787</v>
      </c>
      <c r="Y38" s="76">
        <v>5</v>
      </c>
      <c r="Z38" s="75" t="s">
        <v>669</v>
      </c>
      <c r="AA38" s="76">
        <v>216</v>
      </c>
      <c r="AB38" s="75" t="s">
        <v>721</v>
      </c>
      <c r="AC38" s="76">
        <v>125</v>
      </c>
      <c r="AD38" s="76">
        <v>5</v>
      </c>
      <c r="AE38" s="75" t="s">
        <v>383</v>
      </c>
      <c r="AF38" s="76">
        <v>1</v>
      </c>
      <c r="AG38" s="75" t="s">
        <v>418</v>
      </c>
      <c r="AH38" s="76">
        <v>1</v>
      </c>
      <c r="AJ38" s="77" t="s">
        <v>788</v>
      </c>
      <c r="AK38" s="87"/>
      <c r="AL38" s="78" t="s">
        <v>366</v>
      </c>
      <c r="AM38" s="79">
        <v>1</v>
      </c>
      <c r="AN38" s="78" t="s">
        <v>347</v>
      </c>
      <c r="AO38" s="78" t="s">
        <v>334</v>
      </c>
      <c r="AP38" s="79">
        <v>5</v>
      </c>
      <c r="AQ38" s="80" t="s">
        <v>849</v>
      </c>
      <c r="AR38" s="80" t="s">
        <v>394</v>
      </c>
      <c r="AS38" s="81" t="s">
        <v>433</v>
      </c>
      <c r="AT38" s="80" t="s">
        <v>537</v>
      </c>
      <c r="AU38" s="80" t="s">
        <v>395</v>
      </c>
      <c r="AV38" s="82">
        <v>0</v>
      </c>
      <c r="AW38" s="80" t="s">
        <v>379</v>
      </c>
      <c r="AX38" s="80" t="s">
        <v>432</v>
      </c>
      <c r="AY38" s="83" t="s">
        <v>387</v>
      </c>
    </row>
    <row r="39" spans="1:51" x14ac:dyDescent="0.25">
      <c r="A39" s="75" t="s">
        <v>380</v>
      </c>
      <c r="B39" s="76">
        <v>55</v>
      </c>
      <c r="C39" s="76">
        <v>821</v>
      </c>
      <c r="D39" s="76">
        <v>0</v>
      </c>
      <c r="E39" s="85">
        <v>45979</v>
      </c>
      <c r="F39" s="76">
        <v>363</v>
      </c>
      <c r="G39" s="75" t="s">
        <v>341</v>
      </c>
      <c r="H39" s="75" t="s">
        <v>789</v>
      </c>
      <c r="I39" s="75" t="s">
        <v>790</v>
      </c>
      <c r="J39" s="75" t="s">
        <v>791</v>
      </c>
      <c r="K39" s="68">
        <v>3200</v>
      </c>
      <c r="L39" s="86"/>
      <c r="M39" s="68">
        <v>3200</v>
      </c>
      <c r="N39" s="85"/>
      <c r="O39" s="85">
        <v>46037</v>
      </c>
      <c r="P39" s="75" t="s">
        <v>30</v>
      </c>
      <c r="Q39" s="76">
        <v>8</v>
      </c>
      <c r="R39" s="76">
        <v>10</v>
      </c>
      <c r="S39" s="75" t="s">
        <v>39</v>
      </c>
      <c r="T39" s="75" t="s">
        <v>381</v>
      </c>
      <c r="U39" s="75" t="s">
        <v>415</v>
      </c>
      <c r="V39" s="75" t="s">
        <v>416</v>
      </c>
      <c r="W39" s="75" t="s">
        <v>424</v>
      </c>
      <c r="X39" s="75" t="s">
        <v>385</v>
      </c>
      <c r="Y39" s="76">
        <v>5</v>
      </c>
      <c r="Z39" s="75" t="s">
        <v>425</v>
      </c>
      <c r="AA39" s="76">
        <v>208</v>
      </c>
      <c r="AB39" s="75" t="s">
        <v>426</v>
      </c>
      <c r="AC39" s="76">
        <v>120</v>
      </c>
      <c r="AD39" s="76">
        <v>5</v>
      </c>
      <c r="AE39" s="75" t="s">
        <v>383</v>
      </c>
      <c r="AF39" s="76">
        <v>1</v>
      </c>
      <c r="AG39" s="75" t="s">
        <v>418</v>
      </c>
      <c r="AH39" s="76">
        <v>1</v>
      </c>
      <c r="AJ39" s="77" t="s">
        <v>799</v>
      </c>
      <c r="AK39" s="87"/>
      <c r="AL39" s="78" t="s">
        <v>366</v>
      </c>
      <c r="AM39" s="79">
        <v>1</v>
      </c>
      <c r="AN39" s="78" t="s">
        <v>347</v>
      </c>
      <c r="AO39" s="78" t="s">
        <v>334</v>
      </c>
      <c r="AP39" s="79">
        <v>5</v>
      </c>
      <c r="AQ39" s="80" t="s">
        <v>850</v>
      </c>
      <c r="AR39" s="80" t="s">
        <v>394</v>
      </c>
      <c r="AS39" s="81" t="s">
        <v>433</v>
      </c>
      <c r="AT39" s="80" t="s">
        <v>537</v>
      </c>
      <c r="AU39" s="80" t="s">
        <v>395</v>
      </c>
      <c r="AV39" s="82">
        <v>0</v>
      </c>
      <c r="AW39" s="80" t="s">
        <v>379</v>
      </c>
      <c r="AX39" s="80" t="s">
        <v>432</v>
      </c>
      <c r="AY39" s="83" t="s">
        <v>387</v>
      </c>
    </row>
    <row r="40" spans="1:51" x14ac:dyDescent="0.25">
      <c r="A40" s="75" t="s">
        <v>380</v>
      </c>
      <c r="B40" s="76">
        <v>57</v>
      </c>
      <c r="C40" s="76">
        <v>822</v>
      </c>
      <c r="D40" s="76">
        <v>0</v>
      </c>
      <c r="E40" s="85">
        <v>45979</v>
      </c>
      <c r="F40" s="76">
        <v>363</v>
      </c>
      <c r="G40" s="75" t="s">
        <v>341</v>
      </c>
      <c r="H40" s="75" t="s">
        <v>597</v>
      </c>
      <c r="I40" s="75" t="s">
        <v>598</v>
      </c>
      <c r="J40" s="75" t="s">
        <v>599</v>
      </c>
      <c r="K40" s="68">
        <v>1000</v>
      </c>
      <c r="L40" s="86"/>
      <c r="M40" s="68">
        <v>1000</v>
      </c>
      <c r="N40" s="85"/>
      <c r="O40" s="85">
        <v>46037</v>
      </c>
      <c r="P40" s="75" t="s">
        <v>30</v>
      </c>
      <c r="Q40" s="76">
        <v>8</v>
      </c>
      <c r="R40" s="76">
        <v>10</v>
      </c>
      <c r="S40" s="75" t="s">
        <v>42</v>
      </c>
      <c r="T40" s="75" t="s">
        <v>381</v>
      </c>
      <c r="U40" s="75" t="s">
        <v>415</v>
      </c>
      <c r="V40" s="75" t="s">
        <v>416</v>
      </c>
      <c r="W40" s="75" t="s">
        <v>424</v>
      </c>
      <c r="X40" s="75" t="s">
        <v>385</v>
      </c>
      <c r="Y40" s="76">
        <v>5</v>
      </c>
      <c r="Z40" s="75" t="s">
        <v>419</v>
      </c>
      <c r="AA40" s="76">
        <v>870</v>
      </c>
      <c r="AB40" s="75" t="s">
        <v>420</v>
      </c>
      <c r="AC40" s="76">
        <v>235</v>
      </c>
      <c r="AD40" s="76">
        <v>5</v>
      </c>
      <c r="AE40" s="75" t="s">
        <v>383</v>
      </c>
      <c r="AF40" s="76">
        <v>1</v>
      </c>
      <c r="AG40" s="75" t="s">
        <v>418</v>
      </c>
      <c r="AH40" s="76">
        <v>1</v>
      </c>
      <c r="AJ40" s="77" t="s">
        <v>799</v>
      </c>
      <c r="AK40" s="87"/>
      <c r="AL40" s="78" t="s">
        <v>366</v>
      </c>
      <c r="AM40" s="79">
        <v>1</v>
      </c>
      <c r="AN40" s="78" t="s">
        <v>347</v>
      </c>
      <c r="AO40" s="78" t="s">
        <v>334</v>
      </c>
      <c r="AP40" s="79">
        <v>5</v>
      </c>
      <c r="AQ40" s="80" t="s">
        <v>851</v>
      </c>
      <c r="AR40" s="80" t="s">
        <v>394</v>
      </c>
      <c r="AS40" s="81" t="s">
        <v>433</v>
      </c>
      <c r="AT40" s="80" t="s">
        <v>431</v>
      </c>
      <c r="AU40" s="80" t="s">
        <v>395</v>
      </c>
      <c r="AV40" s="82">
        <v>0</v>
      </c>
      <c r="AW40" s="80" t="s">
        <v>379</v>
      </c>
      <c r="AX40" s="80" t="s">
        <v>432</v>
      </c>
      <c r="AY40" s="83" t="s">
        <v>387</v>
      </c>
    </row>
    <row r="41" spans="1:51" x14ac:dyDescent="0.25">
      <c r="A41" s="75" t="s">
        <v>380</v>
      </c>
      <c r="B41" s="76">
        <v>59</v>
      </c>
      <c r="C41" s="76">
        <v>825</v>
      </c>
      <c r="D41" s="76">
        <v>0</v>
      </c>
      <c r="E41" s="85">
        <v>45979</v>
      </c>
      <c r="F41" s="76">
        <v>363</v>
      </c>
      <c r="G41" s="75" t="s">
        <v>341</v>
      </c>
      <c r="H41" s="75" t="s">
        <v>640</v>
      </c>
      <c r="I41" s="75" t="s">
        <v>784</v>
      </c>
      <c r="J41" s="75" t="s">
        <v>785</v>
      </c>
      <c r="K41" s="68">
        <v>2560</v>
      </c>
      <c r="L41" s="86"/>
      <c r="M41" s="68">
        <v>2560</v>
      </c>
      <c r="N41" s="85"/>
      <c r="O41" s="85">
        <v>46057</v>
      </c>
      <c r="P41" s="75" t="s">
        <v>30</v>
      </c>
      <c r="Q41" s="76"/>
      <c r="R41" s="76"/>
      <c r="S41" s="75" t="s">
        <v>39</v>
      </c>
      <c r="T41" s="75" t="s">
        <v>381</v>
      </c>
      <c r="U41" s="75" t="s">
        <v>415</v>
      </c>
      <c r="V41" s="75" t="s">
        <v>416</v>
      </c>
      <c r="W41" s="75" t="s">
        <v>786</v>
      </c>
      <c r="X41" s="75" t="s">
        <v>787</v>
      </c>
      <c r="Y41" s="76">
        <v>5</v>
      </c>
      <c r="Z41" s="75" t="s">
        <v>425</v>
      </c>
      <c r="AA41" s="76">
        <v>208</v>
      </c>
      <c r="AB41" s="75" t="s">
        <v>426</v>
      </c>
      <c r="AC41" s="76">
        <v>120</v>
      </c>
      <c r="AD41" s="76">
        <v>5</v>
      </c>
      <c r="AE41" s="75" t="s">
        <v>383</v>
      </c>
      <c r="AF41" s="76">
        <v>1</v>
      </c>
      <c r="AG41" s="75" t="s">
        <v>418</v>
      </c>
      <c r="AH41" s="76">
        <v>1</v>
      </c>
      <c r="AJ41" s="77" t="s">
        <v>788</v>
      </c>
      <c r="AK41" s="87"/>
      <c r="AL41" s="78" t="s">
        <v>366</v>
      </c>
      <c r="AM41" s="79">
        <v>1</v>
      </c>
      <c r="AN41" s="78" t="s">
        <v>347</v>
      </c>
      <c r="AO41" s="78" t="s">
        <v>334</v>
      </c>
      <c r="AP41" s="79">
        <v>5</v>
      </c>
      <c r="AQ41" s="80" t="s">
        <v>852</v>
      </c>
      <c r="AR41" s="80" t="s">
        <v>394</v>
      </c>
      <c r="AS41" s="81" t="s">
        <v>433</v>
      </c>
      <c r="AT41" s="80" t="s">
        <v>537</v>
      </c>
      <c r="AU41" s="80" t="s">
        <v>395</v>
      </c>
      <c r="AV41" s="82">
        <v>0</v>
      </c>
      <c r="AW41" s="80" t="s">
        <v>379</v>
      </c>
      <c r="AX41" s="80" t="s">
        <v>432</v>
      </c>
      <c r="AY41" s="83" t="s">
        <v>387</v>
      </c>
    </row>
    <row r="42" spans="1:51" x14ac:dyDescent="0.25">
      <c r="A42" s="75" t="s">
        <v>380</v>
      </c>
      <c r="B42" s="76">
        <v>61</v>
      </c>
      <c r="C42" s="76">
        <v>828</v>
      </c>
      <c r="D42" s="76">
        <v>0</v>
      </c>
      <c r="E42" s="85">
        <v>45979</v>
      </c>
      <c r="F42" s="76">
        <v>363</v>
      </c>
      <c r="G42" s="75" t="s">
        <v>341</v>
      </c>
      <c r="H42" s="75" t="s">
        <v>640</v>
      </c>
      <c r="I42" s="75" t="s">
        <v>784</v>
      </c>
      <c r="J42" s="75" t="s">
        <v>785</v>
      </c>
      <c r="K42" s="68">
        <v>2560</v>
      </c>
      <c r="L42" s="86"/>
      <c r="M42" s="68">
        <v>2560</v>
      </c>
      <c r="N42" s="85"/>
      <c r="O42" s="85">
        <v>46078</v>
      </c>
      <c r="P42" s="75" t="s">
        <v>30</v>
      </c>
      <c r="Q42" s="76"/>
      <c r="R42" s="76"/>
      <c r="S42" s="75" t="s">
        <v>39</v>
      </c>
      <c r="T42" s="75" t="s">
        <v>381</v>
      </c>
      <c r="U42" s="75" t="s">
        <v>415</v>
      </c>
      <c r="V42" s="75" t="s">
        <v>416</v>
      </c>
      <c r="W42" s="75" t="s">
        <v>786</v>
      </c>
      <c r="X42" s="75" t="s">
        <v>787</v>
      </c>
      <c r="Y42" s="76">
        <v>5</v>
      </c>
      <c r="Z42" s="75" t="s">
        <v>425</v>
      </c>
      <c r="AA42" s="76">
        <v>208</v>
      </c>
      <c r="AB42" s="75" t="s">
        <v>426</v>
      </c>
      <c r="AC42" s="76">
        <v>120</v>
      </c>
      <c r="AD42" s="76">
        <v>5</v>
      </c>
      <c r="AE42" s="75" t="s">
        <v>383</v>
      </c>
      <c r="AF42" s="76">
        <v>1</v>
      </c>
      <c r="AG42" s="75" t="s">
        <v>418</v>
      </c>
      <c r="AH42" s="76">
        <v>1</v>
      </c>
      <c r="AJ42" s="77" t="s">
        <v>788</v>
      </c>
      <c r="AK42" s="87"/>
      <c r="AL42" s="78" t="s">
        <v>366</v>
      </c>
      <c r="AM42" s="79">
        <v>1</v>
      </c>
      <c r="AN42" s="78" t="s">
        <v>347</v>
      </c>
      <c r="AO42" s="78" t="s">
        <v>334</v>
      </c>
      <c r="AP42" s="79">
        <v>5</v>
      </c>
      <c r="AQ42" s="80" t="s">
        <v>853</v>
      </c>
      <c r="AR42" s="80" t="s">
        <v>394</v>
      </c>
      <c r="AS42" s="81" t="s">
        <v>433</v>
      </c>
      <c r="AT42" s="80" t="s">
        <v>537</v>
      </c>
      <c r="AU42" s="80" t="s">
        <v>395</v>
      </c>
      <c r="AV42" s="82">
        <v>0</v>
      </c>
      <c r="AW42" s="80" t="s">
        <v>379</v>
      </c>
      <c r="AX42" s="80" t="s">
        <v>432</v>
      </c>
      <c r="AY42" s="83" t="s">
        <v>387</v>
      </c>
    </row>
    <row r="43" spans="1:51" x14ac:dyDescent="0.25">
      <c r="A43" s="75" t="s">
        <v>380</v>
      </c>
      <c r="B43" s="76">
        <v>63</v>
      </c>
      <c r="C43" s="76">
        <v>829</v>
      </c>
      <c r="D43" s="76">
        <v>0</v>
      </c>
      <c r="E43" s="85">
        <v>45979</v>
      </c>
      <c r="F43" s="76">
        <v>363</v>
      </c>
      <c r="G43" s="75" t="s">
        <v>341</v>
      </c>
      <c r="H43" s="75" t="s">
        <v>640</v>
      </c>
      <c r="I43" s="75" t="s">
        <v>784</v>
      </c>
      <c r="J43" s="75" t="s">
        <v>785</v>
      </c>
      <c r="K43" s="68">
        <v>2560</v>
      </c>
      <c r="L43" s="86"/>
      <c r="M43" s="68">
        <v>2560</v>
      </c>
      <c r="N43" s="85"/>
      <c r="O43" s="85">
        <v>46092</v>
      </c>
      <c r="P43" s="75" t="s">
        <v>30</v>
      </c>
      <c r="Q43" s="76"/>
      <c r="R43" s="76"/>
      <c r="S43" s="75" t="s">
        <v>39</v>
      </c>
      <c r="T43" s="75" t="s">
        <v>381</v>
      </c>
      <c r="U43" s="75" t="s">
        <v>415</v>
      </c>
      <c r="V43" s="75" t="s">
        <v>416</v>
      </c>
      <c r="W43" s="75" t="s">
        <v>786</v>
      </c>
      <c r="X43" s="75" t="s">
        <v>787</v>
      </c>
      <c r="Y43" s="76">
        <v>5</v>
      </c>
      <c r="Z43" s="75" t="s">
        <v>425</v>
      </c>
      <c r="AA43" s="76">
        <v>208</v>
      </c>
      <c r="AB43" s="75" t="s">
        <v>426</v>
      </c>
      <c r="AC43" s="76">
        <v>120</v>
      </c>
      <c r="AD43" s="76">
        <v>5</v>
      </c>
      <c r="AE43" s="75" t="s">
        <v>383</v>
      </c>
      <c r="AF43" s="76">
        <v>1</v>
      </c>
      <c r="AG43" s="75" t="s">
        <v>418</v>
      </c>
      <c r="AH43" s="76">
        <v>1</v>
      </c>
      <c r="AJ43" s="77" t="s">
        <v>788</v>
      </c>
      <c r="AK43" s="87"/>
      <c r="AL43" s="78" t="s">
        <v>366</v>
      </c>
      <c r="AM43" s="79">
        <v>1</v>
      </c>
      <c r="AN43" s="78" t="s">
        <v>347</v>
      </c>
      <c r="AO43" s="78" t="s">
        <v>334</v>
      </c>
      <c r="AP43" s="79">
        <v>5</v>
      </c>
      <c r="AQ43" s="80" t="s">
        <v>854</v>
      </c>
      <c r="AR43" s="80" t="s">
        <v>394</v>
      </c>
      <c r="AS43" s="81" t="s">
        <v>433</v>
      </c>
      <c r="AT43" s="80" t="s">
        <v>537</v>
      </c>
      <c r="AU43" s="80" t="s">
        <v>395</v>
      </c>
      <c r="AV43" s="82">
        <v>0</v>
      </c>
      <c r="AW43" s="80" t="s">
        <v>379</v>
      </c>
      <c r="AX43" s="80" t="s">
        <v>432</v>
      </c>
      <c r="AY43" s="83" t="s">
        <v>387</v>
      </c>
    </row>
    <row r="44" spans="1:51" x14ac:dyDescent="0.25">
      <c r="A44" s="75" t="s">
        <v>380</v>
      </c>
      <c r="B44" s="76">
        <v>65</v>
      </c>
      <c r="C44" s="76">
        <v>551</v>
      </c>
      <c r="D44" s="76">
        <v>800</v>
      </c>
      <c r="E44" s="85">
        <v>45959</v>
      </c>
      <c r="F44" s="76">
        <v>373</v>
      </c>
      <c r="G44" s="75" t="s">
        <v>551</v>
      </c>
      <c r="H44" s="75" t="s">
        <v>552</v>
      </c>
      <c r="I44" s="75" t="s">
        <v>552</v>
      </c>
      <c r="J44" s="75" t="s">
        <v>553</v>
      </c>
      <c r="K44" s="68">
        <v>2.5</v>
      </c>
      <c r="L44" s="86"/>
      <c r="M44" s="68">
        <v>2.5</v>
      </c>
      <c r="N44" s="85"/>
      <c r="O44" s="85">
        <v>45991</v>
      </c>
      <c r="P44" s="75" t="s">
        <v>40</v>
      </c>
      <c r="Q44" s="76">
        <v>8</v>
      </c>
      <c r="R44" s="76">
        <v>10</v>
      </c>
      <c r="S44" s="75" t="s">
        <v>287</v>
      </c>
      <c r="T44" s="75" t="s">
        <v>381</v>
      </c>
      <c r="U44" s="75" t="s">
        <v>415</v>
      </c>
      <c r="V44" s="75" t="s">
        <v>416</v>
      </c>
      <c r="W44" s="75" t="s">
        <v>551</v>
      </c>
      <c r="X44" s="75" t="s">
        <v>554</v>
      </c>
      <c r="Y44" s="76">
        <v>5</v>
      </c>
      <c r="Z44" s="75" t="s">
        <v>419</v>
      </c>
      <c r="AA44" s="76">
        <v>870</v>
      </c>
      <c r="AB44" s="75" t="s">
        <v>420</v>
      </c>
      <c r="AC44" s="76">
        <v>235</v>
      </c>
      <c r="AD44" s="76">
        <v>5</v>
      </c>
      <c r="AE44" s="75" t="s">
        <v>383</v>
      </c>
      <c r="AF44" s="76">
        <v>1</v>
      </c>
      <c r="AG44" s="75" t="s">
        <v>418</v>
      </c>
      <c r="AH44" s="76">
        <v>5</v>
      </c>
      <c r="AJ44" s="77" t="s">
        <v>555</v>
      </c>
      <c r="AK44" s="87">
        <v>45979</v>
      </c>
      <c r="AL44" s="78" t="s">
        <v>367</v>
      </c>
      <c r="AM44" s="79">
        <v>1</v>
      </c>
      <c r="AN44" s="78"/>
      <c r="AO44" s="78"/>
      <c r="AP44" s="79"/>
      <c r="AQ44" s="80" t="s">
        <v>566</v>
      </c>
      <c r="AR44" s="80" t="s">
        <v>396</v>
      </c>
      <c r="AS44" s="81" t="s">
        <v>433</v>
      </c>
      <c r="AT44" s="80" t="s">
        <v>431</v>
      </c>
      <c r="AU44" s="80" t="s">
        <v>395</v>
      </c>
      <c r="AV44" s="82">
        <v>0</v>
      </c>
      <c r="AW44" s="80" t="s">
        <v>379</v>
      </c>
      <c r="AX44" s="80" t="s">
        <v>432</v>
      </c>
      <c r="AY44" s="83" t="s">
        <v>387</v>
      </c>
    </row>
    <row r="45" spans="1:51" x14ac:dyDescent="0.25">
      <c r="A45" s="75" t="s">
        <v>380</v>
      </c>
      <c r="B45" s="76">
        <v>66</v>
      </c>
      <c r="C45" s="76">
        <v>564</v>
      </c>
      <c r="D45" s="76">
        <v>800</v>
      </c>
      <c r="E45" s="85">
        <v>45972</v>
      </c>
      <c r="F45" s="76">
        <v>394</v>
      </c>
      <c r="G45" s="75" t="s">
        <v>686</v>
      </c>
      <c r="H45" s="75" t="s">
        <v>687</v>
      </c>
      <c r="I45" s="75" t="s">
        <v>688</v>
      </c>
      <c r="J45" s="75" t="s">
        <v>689</v>
      </c>
      <c r="K45" s="68">
        <v>500</v>
      </c>
      <c r="L45" s="86"/>
      <c r="M45" s="68">
        <v>500</v>
      </c>
      <c r="N45" s="85"/>
      <c r="O45" s="85">
        <v>46001</v>
      </c>
      <c r="P45" s="75" t="s">
        <v>30</v>
      </c>
      <c r="Q45" s="76"/>
      <c r="R45" s="76"/>
      <c r="S45" s="75" t="s">
        <v>175</v>
      </c>
      <c r="T45" s="75" t="s">
        <v>381</v>
      </c>
      <c r="U45" s="75" t="s">
        <v>415</v>
      </c>
      <c r="V45" s="75" t="s">
        <v>416</v>
      </c>
      <c r="W45" s="75" t="s">
        <v>686</v>
      </c>
      <c r="X45" s="75" t="s">
        <v>690</v>
      </c>
      <c r="Y45" s="76">
        <v>4</v>
      </c>
      <c r="Z45" s="75" t="s">
        <v>691</v>
      </c>
      <c r="AA45" s="76">
        <v>830</v>
      </c>
      <c r="AB45" s="75" t="s">
        <v>549</v>
      </c>
      <c r="AC45" s="76">
        <v>200</v>
      </c>
      <c r="AD45" s="76">
        <v>4</v>
      </c>
      <c r="AE45" s="75" t="s">
        <v>384</v>
      </c>
      <c r="AF45" s="76">
        <v>7</v>
      </c>
      <c r="AG45" s="75" t="s">
        <v>482</v>
      </c>
      <c r="AH45" s="76">
        <v>1</v>
      </c>
      <c r="AJ45" s="77" t="s">
        <v>692</v>
      </c>
      <c r="AK45" s="87">
        <v>45982</v>
      </c>
      <c r="AL45" s="78" t="s">
        <v>366</v>
      </c>
      <c r="AM45" s="79">
        <v>1</v>
      </c>
      <c r="AN45" s="78" t="s">
        <v>347</v>
      </c>
      <c r="AO45" s="78" t="s">
        <v>334</v>
      </c>
      <c r="AP45" s="79">
        <v>5</v>
      </c>
      <c r="AQ45" s="80" t="s">
        <v>699</v>
      </c>
      <c r="AR45" s="80" t="s">
        <v>396</v>
      </c>
      <c r="AS45" s="81" t="s">
        <v>398</v>
      </c>
      <c r="AT45" s="80" t="s">
        <v>537</v>
      </c>
      <c r="AU45" s="80" t="s">
        <v>395</v>
      </c>
      <c r="AV45" s="82">
        <v>0</v>
      </c>
      <c r="AW45" s="80" t="s">
        <v>379</v>
      </c>
      <c r="AX45" s="80" t="s">
        <v>432</v>
      </c>
      <c r="AY45" s="83" t="s">
        <v>387</v>
      </c>
    </row>
    <row r="46" spans="1:51" x14ac:dyDescent="0.25">
      <c r="A46" s="75" t="s">
        <v>380</v>
      </c>
      <c r="B46" s="76">
        <v>67</v>
      </c>
      <c r="C46" s="76">
        <v>568</v>
      </c>
      <c r="D46" s="76">
        <v>800</v>
      </c>
      <c r="E46" s="85">
        <v>45975</v>
      </c>
      <c r="F46" s="76">
        <v>394</v>
      </c>
      <c r="G46" s="75" t="s">
        <v>686</v>
      </c>
      <c r="H46" s="75" t="s">
        <v>558</v>
      </c>
      <c r="I46" s="75" t="s">
        <v>558</v>
      </c>
      <c r="J46" s="75" t="s">
        <v>709</v>
      </c>
      <c r="K46" s="68">
        <v>100</v>
      </c>
      <c r="L46" s="86"/>
      <c r="M46" s="68">
        <v>100</v>
      </c>
      <c r="N46" s="85"/>
      <c r="O46" s="85">
        <v>45989</v>
      </c>
      <c r="P46" s="75" t="s">
        <v>30</v>
      </c>
      <c r="Q46" s="76">
        <v>8</v>
      </c>
      <c r="R46" s="76">
        <v>10</v>
      </c>
      <c r="S46" s="75" t="s">
        <v>47</v>
      </c>
      <c r="T46" s="75" t="s">
        <v>381</v>
      </c>
      <c r="U46" s="75" t="s">
        <v>415</v>
      </c>
      <c r="V46" s="75" t="s">
        <v>416</v>
      </c>
      <c r="W46" s="75" t="s">
        <v>686</v>
      </c>
      <c r="X46" s="75" t="s">
        <v>690</v>
      </c>
      <c r="Y46" s="76">
        <v>5</v>
      </c>
      <c r="Z46" s="75" t="s">
        <v>419</v>
      </c>
      <c r="AA46" s="76">
        <v>870</v>
      </c>
      <c r="AB46" s="75" t="s">
        <v>420</v>
      </c>
      <c r="AC46" s="76">
        <v>235</v>
      </c>
      <c r="AD46" s="76">
        <v>5</v>
      </c>
      <c r="AE46" s="75" t="s">
        <v>383</v>
      </c>
      <c r="AF46" s="76">
        <v>1</v>
      </c>
      <c r="AG46" s="75" t="s">
        <v>418</v>
      </c>
      <c r="AH46" s="76">
        <v>1</v>
      </c>
      <c r="AJ46" s="77" t="s">
        <v>710</v>
      </c>
      <c r="AK46" s="87">
        <v>45989</v>
      </c>
      <c r="AL46" s="78" t="s">
        <v>366</v>
      </c>
      <c r="AM46" s="79">
        <v>1</v>
      </c>
      <c r="AN46" s="78" t="s">
        <v>347</v>
      </c>
      <c r="AO46" s="78" t="s">
        <v>334</v>
      </c>
      <c r="AP46" s="79">
        <v>5</v>
      </c>
      <c r="AQ46" s="80" t="s">
        <v>716</v>
      </c>
      <c r="AR46" s="80" t="s">
        <v>396</v>
      </c>
      <c r="AS46" s="81" t="s">
        <v>433</v>
      </c>
      <c r="AT46" s="80" t="s">
        <v>431</v>
      </c>
      <c r="AU46" s="80" t="s">
        <v>395</v>
      </c>
      <c r="AV46" s="82">
        <v>0</v>
      </c>
      <c r="AW46" s="80" t="s">
        <v>379</v>
      </c>
      <c r="AX46" s="80" t="s">
        <v>432</v>
      </c>
      <c r="AY46" s="83" t="s">
        <v>387</v>
      </c>
    </row>
    <row r="47" spans="1:51" x14ac:dyDescent="0.25">
      <c r="A47" s="75" t="s">
        <v>380</v>
      </c>
      <c r="B47" s="76">
        <v>68</v>
      </c>
      <c r="C47" s="76">
        <v>569</v>
      </c>
      <c r="D47" s="76">
        <v>800</v>
      </c>
      <c r="E47" s="85">
        <v>45975</v>
      </c>
      <c r="F47" s="76">
        <v>394</v>
      </c>
      <c r="G47" s="75" t="s">
        <v>686</v>
      </c>
      <c r="H47" s="75" t="s">
        <v>711</v>
      </c>
      <c r="I47" s="75" t="s">
        <v>712</v>
      </c>
      <c r="J47" s="75" t="s">
        <v>713</v>
      </c>
      <c r="K47" s="68">
        <v>50</v>
      </c>
      <c r="L47" s="86"/>
      <c r="M47" s="68">
        <v>50</v>
      </c>
      <c r="N47" s="85"/>
      <c r="O47" s="85">
        <v>45989</v>
      </c>
      <c r="P47" s="75" t="s">
        <v>30</v>
      </c>
      <c r="Q47" s="76">
        <v>8</v>
      </c>
      <c r="R47" s="76">
        <v>10</v>
      </c>
      <c r="S47" s="75" t="s">
        <v>312</v>
      </c>
      <c r="T47" s="75" t="s">
        <v>381</v>
      </c>
      <c r="U47" s="75" t="s">
        <v>415</v>
      </c>
      <c r="V47" s="75" t="s">
        <v>416</v>
      </c>
      <c r="W47" s="75" t="s">
        <v>686</v>
      </c>
      <c r="X47" s="75" t="s">
        <v>690</v>
      </c>
      <c r="Y47" s="76">
        <v>6</v>
      </c>
      <c r="Z47" s="75" t="s">
        <v>427</v>
      </c>
      <c r="AA47" s="76">
        <v>800</v>
      </c>
      <c r="AB47" s="75" t="s">
        <v>714</v>
      </c>
      <c r="AC47" s="76">
        <v>30</v>
      </c>
      <c r="AD47" s="76">
        <v>6</v>
      </c>
      <c r="AE47" s="75" t="s">
        <v>382</v>
      </c>
      <c r="AF47" s="76">
        <v>1</v>
      </c>
      <c r="AG47" s="75" t="s">
        <v>418</v>
      </c>
      <c r="AH47" s="76">
        <v>1</v>
      </c>
      <c r="AJ47" s="77" t="s">
        <v>715</v>
      </c>
      <c r="AK47" s="87">
        <v>45989</v>
      </c>
      <c r="AL47" s="78" t="s">
        <v>366</v>
      </c>
      <c r="AM47" s="79">
        <v>1</v>
      </c>
      <c r="AN47" s="78" t="s">
        <v>347</v>
      </c>
      <c r="AO47" s="78" t="s">
        <v>334</v>
      </c>
      <c r="AP47" s="79">
        <v>5</v>
      </c>
      <c r="AQ47" s="80" t="s">
        <v>717</v>
      </c>
      <c r="AR47" s="80" t="s">
        <v>396</v>
      </c>
      <c r="AS47" s="81" t="s">
        <v>398</v>
      </c>
      <c r="AT47" s="80" t="s">
        <v>431</v>
      </c>
      <c r="AU47" s="80" t="s">
        <v>395</v>
      </c>
      <c r="AV47" s="82">
        <v>0</v>
      </c>
      <c r="AW47" s="80" t="s">
        <v>379</v>
      </c>
      <c r="AX47" s="80" t="s">
        <v>432</v>
      </c>
      <c r="AY47" s="83" t="s">
        <v>387</v>
      </c>
    </row>
    <row r="48" spans="1:51" x14ac:dyDescent="0.25">
      <c r="A48" s="75" t="s">
        <v>380</v>
      </c>
      <c r="B48" s="76">
        <v>72</v>
      </c>
      <c r="C48" s="76">
        <v>790</v>
      </c>
      <c r="D48" s="76">
        <v>0</v>
      </c>
      <c r="E48" s="85">
        <v>45966</v>
      </c>
      <c r="F48" s="76">
        <v>419</v>
      </c>
      <c r="G48" s="75" t="s">
        <v>620</v>
      </c>
      <c r="H48" s="75" t="s">
        <v>621</v>
      </c>
      <c r="I48" s="75" t="s">
        <v>622</v>
      </c>
      <c r="J48" s="75" t="s">
        <v>623</v>
      </c>
      <c r="K48" s="68">
        <v>50</v>
      </c>
      <c r="L48" s="86"/>
      <c r="M48" s="68">
        <v>50</v>
      </c>
      <c r="N48" s="85"/>
      <c r="O48" s="85">
        <v>45987</v>
      </c>
      <c r="P48" s="75" t="s">
        <v>56</v>
      </c>
      <c r="Q48" s="76">
        <v>8</v>
      </c>
      <c r="R48" s="76">
        <v>10</v>
      </c>
      <c r="S48" s="75" t="s">
        <v>624</v>
      </c>
      <c r="T48" s="75" t="s">
        <v>381</v>
      </c>
      <c r="U48" s="75" t="s">
        <v>415</v>
      </c>
      <c r="V48" s="75" t="s">
        <v>416</v>
      </c>
      <c r="W48" s="75" t="s">
        <v>625</v>
      </c>
      <c r="X48" s="75" t="s">
        <v>626</v>
      </c>
      <c r="Y48" s="76">
        <v>6</v>
      </c>
      <c r="Z48" s="75" t="s">
        <v>447</v>
      </c>
      <c r="AA48" s="76">
        <v>635</v>
      </c>
      <c r="AB48" s="75" t="s">
        <v>562</v>
      </c>
      <c r="AC48" s="76">
        <v>215</v>
      </c>
      <c r="AD48" s="76">
        <v>6</v>
      </c>
      <c r="AE48" s="75" t="s">
        <v>382</v>
      </c>
      <c r="AF48" s="76">
        <v>1</v>
      </c>
      <c r="AG48" s="75" t="s">
        <v>418</v>
      </c>
      <c r="AH48" s="76">
        <v>35</v>
      </c>
      <c r="AJ48" s="77" t="s">
        <v>627</v>
      </c>
      <c r="AK48" s="87"/>
      <c r="AL48" s="78" t="s">
        <v>366</v>
      </c>
      <c r="AM48" s="79">
        <v>1</v>
      </c>
      <c r="AN48" s="78"/>
      <c r="AO48" s="78"/>
      <c r="AP48" s="79"/>
      <c r="AQ48" s="80" t="s">
        <v>628</v>
      </c>
      <c r="AR48" s="80" t="s">
        <v>394</v>
      </c>
      <c r="AS48" s="81" t="s">
        <v>398</v>
      </c>
      <c r="AT48" s="80" t="s">
        <v>410</v>
      </c>
      <c r="AU48" s="80" t="s">
        <v>395</v>
      </c>
      <c r="AV48" s="82">
        <v>0</v>
      </c>
      <c r="AW48" s="80" t="s">
        <v>379</v>
      </c>
      <c r="AX48" s="80" t="s">
        <v>432</v>
      </c>
      <c r="AY48" s="83" t="s">
        <v>387</v>
      </c>
    </row>
    <row r="49" spans="1:51" x14ac:dyDescent="0.25">
      <c r="A49" s="75" t="s">
        <v>380</v>
      </c>
      <c r="B49" s="76">
        <v>73</v>
      </c>
      <c r="C49" s="76">
        <v>787</v>
      </c>
      <c r="D49" s="76">
        <v>0</v>
      </c>
      <c r="E49" s="85">
        <v>45965</v>
      </c>
      <c r="F49" s="76">
        <v>426</v>
      </c>
      <c r="G49" s="75" t="s">
        <v>607</v>
      </c>
      <c r="H49" s="75" t="s">
        <v>608</v>
      </c>
      <c r="I49" s="75" t="s">
        <v>609</v>
      </c>
      <c r="J49" s="75" t="s">
        <v>610</v>
      </c>
      <c r="K49" s="68">
        <v>500</v>
      </c>
      <c r="L49" s="86"/>
      <c r="M49" s="68">
        <v>500</v>
      </c>
      <c r="N49" s="85"/>
      <c r="O49" s="85">
        <v>46000</v>
      </c>
      <c r="P49" s="75" t="s">
        <v>30</v>
      </c>
      <c r="Q49" s="76">
        <v>8</v>
      </c>
      <c r="R49" s="76">
        <v>10</v>
      </c>
      <c r="S49" s="75" t="s">
        <v>49</v>
      </c>
      <c r="T49" s="75" t="s">
        <v>381</v>
      </c>
      <c r="U49" s="75" t="s">
        <v>415</v>
      </c>
      <c r="V49" s="75" t="s">
        <v>416</v>
      </c>
      <c r="W49" s="75" t="s">
        <v>607</v>
      </c>
      <c r="X49" s="75" t="s">
        <v>611</v>
      </c>
      <c r="Y49" s="76">
        <v>5</v>
      </c>
      <c r="Z49" s="75" t="s">
        <v>419</v>
      </c>
      <c r="AA49" s="76">
        <v>230</v>
      </c>
      <c r="AB49" s="75" t="s">
        <v>422</v>
      </c>
      <c r="AC49" s="76">
        <v>235</v>
      </c>
      <c r="AD49" s="76">
        <v>5</v>
      </c>
      <c r="AE49" s="75" t="s">
        <v>383</v>
      </c>
      <c r="AF49" s="76">
        <v>1</v>
      </c>
      <c r="AG49" s="75" t="s">
        <v>418</v>
      </c>
      <c r="AH49" s="76">
        <v>1</v>
      </c>
      <c r="AJ49" s="77" t="s">
        <v>612</v>
      </c>
      <c r="AK49" s="87"/>
      <c r="AL49" s="78" t="s">
        <v>366</v>
      </c>
      <c r="AM49" s="79">
        <v>1</v>
      </c>
      <c r="AN49" s="78" t="s">
        <v>347</v>
      </c>
      <c r="AO49" s="78" t="s">
        <v>334</v>
      </c>
      <c r="AP49" s="79">
        <v>5</v>
      </c>
      <c r="AQ49" s="80" t="s">
        <v>617</v>
      </c>
      <c r="AR49" s="80" t="s">
        <v>394</v>
      </c>
      <c r="AS49" s="81" t="s">
        <v>433</v>
      </c>
      <c r="AT49" s="80" t="s">
        <v>618</v>
      </c>
      <c r="AU49" s="80" t="s">
        <v>395</v>
      </c>
      <c r="AV49" s="82">
        <v>0</v>
      </c>
      <c r="AW49" s="80" t="s">
        <v>379</v>
      </c>
      <c r="AX49" s="80" t="s">
        <v>432</v>
      </c>
      <c r="AY49" s="83" t="s">
        <v>387</v>
      </c>
    </row>
    <row r="50" spans="1:51" x14ac:dyDescent="0.25">
      <c r="A50" s="75" t="s">
        <v>380</v>
      </c>
      <c r="B50" s="76">
        <v>74</v>
      </c>
      <c r="C50" s="76">
        <v>787</v>
      </c>
      <c r="D50" s="76">
        <v>0</v>
      </c>
      <c r="E50" s="85">
        <v>45965</v>
      </c>
      <c r="F50" s="76">
        <v>426</v>
      </c>
      <c r="G50" s="75" t="s">
        <v>607</v>
      </c>
      <c r="H50" s="75" t="s">
        <v>613</v>
      </c>
      <c r="I50" s="75" t="s">
        <v>614</v>
      </c>
      <c r="J50" s="75" t="s">
        <v>610</v>
      </c>
      <c r="K50" s="68">
        <v>0.5</v>
      </c>
      <c r="L50" s="86"/>
      <c r="M50" s="68">
        <v>0.5</v>
      </c>
      <c r="N50" s="85"/>
      <c r="O50" s="85">
        <v>46000</v>
      </c>
      <c r="P50" s="75" t="s">
        <v>30</v>
      </c>
      <c r="Q50" s="76">
        <v>8</v>
      </c>
      <c r="R50" s="76">
        <v>10</v>
      </c>
      <c r="S50" s="75" t="s">
        <v>615</v>
      </c>
      <c r="T50" s="75" t="s">
        <v>381</v>
      </c>
      <c r="U50" s="75" t="s">
        <v>415</v>
      </c>
      <c r="V50" s="75" t="s">
        <v>416</v>
      </c>
      <c r="W50" s="75" t="s">
        <v>607</v>
      </c>
      <c r="X50" s="75" t="s">
        <v>611</v>
      </c>
      <c r="Y50" s="76">
        <v>5</v>
      </c>
      <c r="Z50" s="75" t="s">
        <v>419</v>
      </c>
      <c r="AA50" s="76">
        <v>230</v>
      </c>
      <c r="AB50" s="75" t="s">
        <v>422</v>
      </c>
      <c r="AC50" s="76">
        <v>235</v>
      </c>
      <c r="AD50" s="76">
        <v>5</v>
      </c>
      <c r="AE50" s="75" t="s">
        <v>383</v>
      </c>
      <c r="AF50" s="76">
        <v>1</v>
      </c>
      <c r="AG50" s="75" t="s">
        <v>418</v>
      </c>
      <c r="AH50" s="76">
        <v>1</v>
      </c>
      <c r="AJ50" s="77" t="s">
        <v>612</v>
      </c>
      <c r="AK50" s="87"/>
      <c r="AL50" s="78" t="s">
        <v>366</v>
      </c>
      <c r="AM50" s="79">
        <v>1</v>
      </c>
      <c r="AN50" s="78" t="s">
        <v>347</v>
      </c>
      <c r="AO50" s="78" t="s">
        <v>334</v>
      </c>
      <c r="AP50" s="79">
        <v>5</v>
      </c>
      <c r="AQ50" s="80" t="s">
        <v>617</v>
      </c>
      <c r="AR50" s="80" t="s">
        <v>394</v>
      </c>
      <c r="AS50" s="81" t="s">
        <v>433</v>
      </c>
      <c r="AT50" s="80" t="s">
        <v>410</v>
      </c>
      <c r="AU50" s="80" t="s">
        <v>395</v>
      </c>
      <c r="AV50" s="82">
        <v>0</v>
      </c>
      <c r="AW50" s="80" t="s">
        <v>379</v>
      </c>
      <c r="AX50" s="80" t="s">
        <v>432</v>
      </c>
      <c r="AY50" s="83" t="s">
        <v>387</v>
      </c>
    </row>
    <row r="51" spans="1:51" x14ac:dyDescent="0.25">
      <c r="A51" s="75" t="s">
        <v>380</v>
      </c>
      <c r="B51" s="76">
        <v>75</v>
      </c>
      <c r="C51" s="76">
        <v>806</v>
      </c>
      <c r="D51" s="76">
        <v>0</v>
      </c>
      <c r="E51" s="85">
        <v>45975</v>
      </c>
      <c r="F51" s="76">
        <v>466</v>
      </c>
      <c r="G51" s="75" t="s">
        <v>725</v>
      </c>
      <c r="H51" s="75" t="s">
        <v>726</v>
      </c>
      <c r="I51" s="75" t="s">
        <v>727</v>
      </c>
      <c r="J51" s="75" t="s">
        <v>728</v>
      </c>
      <c r="K51" s="68">
        <v>12400</v>
      </c>
      <c r="L51" s="86"/>
      <c r="M51" s="68">
        <v>12400</v>
      </c>
      <c r="N51" s="85"/>
      <c r="O51" s="85">
        <v>46009</v>
      </c>
      <c r="P51" s="75" t="s">
        <v>30</v>
      </c>
      <c r="Q51" s="76">
        <v>8</v>
      </c>
      <c r="R51" s="76">
        <v>10</v>
      </c>
      <c r="S51" s="75" t="s">
        <v>51</v>
      </c>
      <c r="T51" s="75" t="s">
        <v>381</v>
      </c>
      <c r="U51" s="75" t="s">
        <v>415</v>
      </c>
      <c r="V51" s="75" t="s">
        <v>416</v>
      </c>
      <c r="W51" s="75" t="s">
        <v>729</v>
      </c>
      <c r="X51" s="75" t="s">
        <v>730</v>
      </c>
      <c r="Y51" s="76">
        <v>5</v>
      </c>
      <c r="Z51" s="75" t="s">
        <v>419</v>
      </c>
      <c r="AA51" s="76">
        <v>213</v>
      </c>
      <c r="AB51" s="75" t="s">
        <v>33</v>
      </c>
      <c r="AC51" s="76">
        <v>235</v>
      </c>
      <c r="AD51" s="76">
        <v>5</v>
      </c>
      <c r="AE51" s="75" t="s">
        <v>383</v>
      </c>
      <c r="AF51" s="76">
        <v>1</v>
      </c>
      <c r="AG51" s="75" t="s">
        <v>418</v>
      </c>
      <c r="AH51" s="76">
        <v>1</v>
      </c>
      <c r="AJ51" s="77" t="s">
        <v>731</v>
      </c>
      <c r="AK51" s="87"/>
      <c r="AL51" s="78" t="s">
        <v>366</v>
      </c>
      <c r="AM51" s="79">
        <v>1</v>
      </c>
      <c r="AN51" s="78" t="s">
        <v>347</v>
      </c>
      <c r="AO51" s="78" t="s">
        <v>334</v>
      </c>
      <c r="AP51" s="79">
        <v>5</v>
      </c>
      <c r="AQ51" s="80" t="s">
        <v>772</v>
      </c>
      <c r="AR51" s="80" t="s">
        <v>394</v>
      </c>
      <c r="AS51" s="81" t="s">
        <v>433</v>
      </c>
      <c r="AT51" s="80" t="s">
        <v>431</v>
      </c>
      <c r="AU51" s="80" t="s">
        <v>395</v>
      </c>
      <c r="AV51" s="82">
        <v>0</v>
      </c>
      <c r="AW51" s="80" t="s">
        <v>379</v>
      </c>
      <c r="AX51" s="80" t="s">
        <v>432</v>
      </c>
      <c r="AY51" s="83" t="s">
        <v>387</v>
      </c>
    </row>
    <row r="52" spans="1:51" x14ac:dyDescent="0.25">
      <c r="A52" s="75" t="s">
        <v>380</v>
      </c>
      <c r="B52" s="76">
        <v>76</v>
      </c>
      <c r="C52" s="76">
        <v>806</v>
      </c>
      <c r="D52" s="76">
        <v>0</v>
      </c>
      <c r="E52" s="85">
        <v>45975</v>
      </c>
      <c r="F52" s="76">
        <v>466</v>
      </c>
      <c r="G52" s="75" t="s">
        <v>725</v>
      </c>
      <c r="H52" s="75" t="s">
        <v>732</v>
      </c>
      <c r="I52" s="75" t="s">
        <v>733</v>
      </c>
      <c r="J52" s="75" t="s">
        <v>734</v>
      </c>
      <c r="K52" s="68">
        <v>1</v>
      </c>
      <c r="L52" s="86"/>
      <c r="M52" s="68">
        <v>1</v>
      </c>
      <c r="N52" s="85"/>
      <c r="O52" s="85">
        <v>46009</v>
      </c>
      <c r="P52" s="75" t="s">
        <v>30</v>
      </c>
      <c r="Q52" s="76">
        <v>8</v>
      </c>
      <c r="R52" s="76">
        <v>10</v>
      </c>
      <c r="S52" s="75" t="s">
        <v>284</v>
      </c>
      <c r="T52" s="75" t="s">
        <v>381</v>
      </c>
      <c r="U52" s="75" t="s">
        <v>415</v>
      </c>
      <c r="V52" s="75" t="s">
        <v>416</v>
      </c>
      <c r="W52" s="75" t="s">
        <v>729</v>
      </c>
      <c r="X52" s="75" t="s">
        <v>730</v>
      </c>
      <c r="Y52" s="76">
        <v>5</v>
      </c>
      <c r="Z52" s="75" t="s">
        <v>419</v>
      </c>
      <c r="AA52" s="76">
        <v>213</v>
      </c>
      <c r="AB52" s="75" t="s">
        <v>33</v>
      </c>
      <c r="AC52" s="76">
        <v>235</v>
      </c>
      <c r="AD52" s="76">
        <v>5</v>
      </c>
      <c r="AE52" s="75" t="s">
        <v>383</v>
      </c>
      <c r="AF52" s="76">
        <v>1</v>
      </c>
      <c r="AG52" s="75" t="s">
        <v>418</v>
      </c>
      <c r="AH52" s="76">
        <v>1</v>
      </c>
      <c r="AJ52" s="77" t="s">
        <v>731</v>
      </c>
      <c r="AK52" s="87"/>
      <c r="AL52" s="78" t="s">
        <v>366</v>
      </c>
      <c r="AM52" s="79">
        <v>1</v>
      </c>
      <c r="AN52" s="78" t="s">
        <v>347</v>
      </c>
      <c r="AO52" s="78" t="s">
        <v>334</v>
      </c>
      <c r="AP52" s="79">
        <v>5</v>
      </c>
      <c r="AQ52" s="80" t="s">
        <v>772</v>
      </c>
      <c r="AR52" s="80" t="s">
        <v>394</v>
      </c>
      <c r="AS52" s="81" t="s">
        <v>433</v>
      </c>
      <c r="AT52" s="80" t="s">
        <v>773</v>
      </c>
      <c r="AU52" s="80" t="s">
        <v>395</v>
      </c>
      <c r="AV52" s="82">
        <v>0</v>
      </c>
      <c r="AW52" s="80" t="s">
        <v>379</v>
      </c>
      <c r="AX52" s="80" t="s">
        <v>432</v>
      </c>
      <c r="AY52" s="83" t="s">
        <v>387</v>
      </c>
    </row>
    <row r="53" spans="1:51" x14ac:dyDescent="0.25">
      <c r="A53" s="75" t="s">
        <v>380</v>
      </c>
      <c r="B53" s="76">
        <v>77</v>
      </c>
      <c r="C53" s="76">
        <v>566</v>
      </c>
      <c r="D53" s="76">
        <v>800</v>
      </c>
      <c r="E53" s="85">
        <v>45973</v>
      </c>
      <c r="F53" s="76">
        <v>475</v>
      </c>
      <c r="G53" s="75" t="s">
        <v>701</v>
      </c>
      <c r="H53" s="75" t="s">
        <v>702</v>
      </c>
      <c r="I53" s="75" t="s">
        <v>703</v>
      </c>
      <c r="J53" s="75" t="s">
        <v>704</v>
      </c>
      <c r="K53" s="68">
        <v>400</v>
      </c>
      <c r="L53" s="86"/>
      <c r="M53" s="68">
        <v>400</v>
      </c>
      <c r="N53" s="85"/>
      <c r="O53" s="85">
        <v>45989</v>
      </c>
      <c r="P53" s="75" t="s">
        <v>59</v>
      </c>
      <c r="Q53" s="76">
        <v>8</v>
      </c>
      <c r="R53" s="76">
        <v>10</v>
      </c>
      <c r="S53" s="75" t="s">
        <v>63</v>
      </c>
      <c r="T53" s="75" t="s">
        <v>381</v>
      </c>
      <c r="U53" s="75" t="s">
        <v>415</v>
      </c>
      <c r="V53" s="75" t="s">
        <v>416</v>
      </c>
      <c r="W53" s="75" t="s">
        <v>701</v>
      </c>
      <c r="X53" s="75" t="s">
        <v>705</v>
      </c>
      <c r="Y53" s="76">
        <v>5</v>
      </c>
      <c r="Z53" s="75" t="s">
        <v>419</v>
      </c>
      <c r="AA53" s="76">
        <v>309</v>
      </c>
      <c r="AB53" s="75" t="s">
        <v>706</v>
      </c>
      <c r="AC53" s="76">
        <v>235</v>
      </c>
      <c r="AD53" s="76">
        <v>5</v>
      </c>
      <c r="AE53" s="75" t="s">
        <v>383</v>
      </c>
      <c r="AF53" s="76">
        <v>1</v>
      </c>
      <c r="AG53" s="75" t="s">
        <v>418</v>
      </c>
      <c r="AH53" s="76">
        <v>45</v>
      </c>
      <c r="AJ53" s="77" t="s">
        <v>707</v>
      </c>
      <c r="AK53" s="87">
        <v>45982</v>
      </c>
      <c r="AL53" s="78" t="s">
        <v>367</v>
      </c>
      <c r="AM53" s="79">
        <v>1</v>
      </c>
      <c r="AN53" s="78"/>
      <c r="AO53" s="78"/>
      <c r="AP53" s="79"/>
      <c r="AQ53" s="80" t="s">
        <v>708</v>
      </c>
      <c r="AR53" s="80" t="s">
        <v>396</v>
      </c>
      <c r="AS53" s="81" t="s">
        <v>433</v>
      </c>
      <c r="AT53" s="80" t="s">
        <v>431</v>
      </c>
      <c r="AU53" s="80" t="s">
        <v>395</v>
      </c>
      <c r="AV53" s="82">
        <v>0</v>
      </c>
      <c r="AW53" s="80" t="s">
        <v>379</v>
      </c>
      <c r="AX53" s="80" t="s">
        <v>432</v>
      </c>
      <c r="AY53" s="83" t="s">
        <v>387</v>
      </c>
    </row>
    <row r="54" spans="1:51" x14ac:dyDescent="0.25">
      <c r="A54" s="75" t="s">
        <v>380</v>
      </c>
      <c r="B54" s="76">
        <v>78</v>
      </c>
      <c r="C54" s="76">
        <v>801</v>
      </c>
      <c r="D54" s="76">
        <v>0</v>
      </c>
      <c r="E54" s="85">
        <v>45972</v>
      </c>
      <c r="F54" s="76">
        <v>477</v>
      </c>
      <c r="G54" s="75" t="s">
        <v>489</v>
      </c>
      <c r="H54" s="75" t="s">
        <v>679</v>
      </c>
      <c r="I54" s="75" t="s">
        <v>693</v>
      </c>
      <c r="J54" s="75" t="s">
        <v>694</v>
      </c>
      <c r="K54" s="68">
        <v>700</v>
      </c>
      <c r="L54" s="86"/>
      <c r="M54" s="68">
        <v>700</v>
      </c>
      <c r="N54" s="85"/>
      <c r="O54" s="85">
        <v>45989</v>
      </c>
      <c r="P54" s="75"/>
      <c r="Q54" s="76">
        <v>8</v>
      </c>
      <c r="R54" s="76">
        <v>10</v>
      </c>
      <c r="S54" s="75" t="s">
        <v>47</v>
      </c>
      <c r="T54" s="75" t="s">
        <v>381</v>
      </c>
      <c r="U54" s="75" t="s">
        <v>415</v>
      </c>
      <c r="V54" s="75" t="s">
        <v>416</v>
      </c>
      <c r="W54" s="75" t="s">
        <v>489</v>
      </c>
      <c r="X54" s="75" t="s">
        <v>493</v>
      </c>
      <c r="Y54" s="76">
        <v>5</v>
      </c>
      <c r="Z54" s="75" t="s">
        <v>419</v>
      </c>
      <c r="AA54" s="76">
        <v>213</v>
      </c>
      <c r="AB54" s="75" t="s">
        <v>33</v>
      </c>
      <c r="AC54" s="76">
        <v>235</v>
      </c>
      <c r="AD54" s="76">
        <v>5</v>
      </c>
      <c r="AE54" s="75" t="s">
        <v>383</v>
      </c>
      <c r="AF54" s="76">
        <v>1</v>
      </c>
      <c r="AG54" s="75" t="s">
        <v>418</v>
      </c>
      <c r="AH54" s="76"/>
      <c r="AJ54" s="77" t="s">
        <v>695</v>
      </c>
      <c r="AK54" s="87"/>
      <c r="AL54" s="78" t="s">
        <v>366</v>
      </c>
      <c r="AM54" s="79">
        <v>1</v>
      </c>
      <c r="AN54" s="78"/>
      <c r="AO54" s="78"/>
      <c r="AP54" s="79"/>
      <c r="AQ54" s="80" t="s">
        <v>700</v>
      </c>
      <c r="AR54" s="80" t="s">
        <v>394</v>
      </c>
      <c r="AS54" s="81" t="s">
        <v>433</v>
      </c>
      <c r="AT54" s="80" t="s">
        <v>431</v>
      </c>
      <c r="AU54" s="80" t="s">
        <v>395</v>
      </c>
      <c r="AV54" s="82">
        <v>0</v>
      </c>
      <c r="AW54" s="80" t="s">
        <v>379</v>
      </c>
      <c r="AX54" s="80" t="s">
        <v>432</v>
      </c>
      <c r="AY54" s="83" t="s">
        <v>387</v>
      </c>
    </row>
    <row r="55" spans="1:51" x14ac:dyDescent="0.25">
      <c r="A55" s="75" t="s">
        <v>380</v>
      </c>
      <c r="B55" s="76">
        <v>79</v>
      </c>
      <c r="C55" s="76">
        <v>532</v>
      </c>
      <c r="D55" s="76">
        <v>800</v>
      </c>
      <c r="E55" s="85">
        <v>45945</v>
      </c>
      <c r="F55" s="76">
        <v>477</v>
      </c>
      <c r="G55" s="75" t="s">
        <v>489</v>
      </c>
      <c r="H55" s="75" t="s">
        <v>490</v>
      </c>
      <c r="I55" s="75" t="s">
        <v>491</v>
      </c>
      <c r="J55" s="75" t="s">
        <v>492</v>
      </c>
      <c r="K55" s="68">
        <v>800</v>
      </c>
      <c r="L55" s="86"/>
      <c r="M55" s="68">
        <v>800</v>
      </c>
      <c r="N55" s="85"/>
      <c r="O55" s="85">
        <v>45964</v>
      </c>
      <c r="P55" s="75" t="s">
        <v>30</v>
      </c>
      <c r="Q55" s="76">
        <v>8</v>
      </c>
      <c r="R55" s="76">
        <v>10</v>
      </c>
      <c r="S55" s="75" t="s">
        <v>52</v>
      </c>
      <c r="T55" s="75" t="s">
        <v>381</v>
      </c>
      <c r="U55" s="75" t="s">
        <v>415</v>
      </c>
      <c r="V55" s="75" t="s">
        <v>416</v>
      </c>
      <c r="W55" s="75" t="s">
        <v>489</v>
      </c>
      <c r="X55" s="75" t="s">
        <v>493</v>
      </c>
      <c r="Y55" s="76">
        <v>5</v>
      </c>
      <c r="Z55" s="75" t="s">
        <v>419</v>
      </c>
      <c r="AA55" s="76">
        <v>870</v>
      </c>
      <c r="AB55" s="75" t="s">
        <v>420</v>
      </c>
      <c r="AC55" s="76">
        <v>235</v>
      </c>
      <c r="AD55" s="76">
        <v>5</v>
      </c>
      <c r="AE55" s="75" t="s">
        <v>383</v>
      </c>
      <c r="AF55" s="76">
        <v>1</v>
      </c>
      <c r="AG55" s="75" t="s">
        <v>418</v>
      </c>
      <c r="AH55" s="76">
        <v>1</v>
      </c>
      <c r="AJ55" s="77" t="s">
        <v>494</v>
      </c>
      <c r="AK55" s="87">
        <v>45964</v>
      </c>
      <c r="AL55" s="78" t="s">
        <v>366</v>
      </c>
      <c r="AM55" s="79">
        <v>1</v>
      </c>
      <c r="AN55" s="78" t="s">
        <v>347</v>
      </c>
      <c r="AO55" s="78" t="s">
        <v>334</v>
      </c>
      <c r="AP55" s="79">
        <v>5</v>
      </c>
      <c r="AQ55" s="80" t="s">
        <v>495</v>
      </c>
      <c r="AR55" s="80" t="s">
        <v>396</v>
      </c>
      <c r="AS55" s="81" t="s">
        <v>433</v>
      </c>
      <c r="AT55" s="80" t="s">
        <v>496</v>
      </c>
      <c r="AU55" s="80" t="s">
        <v>395</v>
      </c>
      <c r="AV55" s="82">
        <v>0</v>
      </c>
      <c r="AW55" s="80" t="s">
        <v>577</v>
      </c>
      <c r="AX55" s="80" t="s">
        <v>432</v>
      </c>
      <c r="AY55" s="83" t="s">
        <v>387</v>
      </c>
    </row>
    <row r="56" spans="1:51" x14ac:dyDescent="0.25">
      <c r="A56" s="75" t="s">
        <v>380</v>
      </c>
      <c r="B56" s="76">
        <v>80</v>
      </c>
      <c r="C56" s="76">
        <v>532</v>
      </c>
      <c r="D56" s="76">
        <v>800</v>
      </c>
      <c r="E56" s="85">
        <v>45945</v>
      </c>
      <c r="F56" s="76">
        <v>477</v>
      </c>
      <c r="G56" s="75" t="s">
        <v>489</v>
      </c>
      <c r="H56" s="75" t="s">
        <v>800</v>
      </c>
      <c r="I56" s="75" t="s">
        <v>801</v>
      </c>
      <c r="J56" s="75" t="s">
        <v>492</v>
      </c>
      <c r="K56" s="68">
        <v>0.7</v>
      </c>
      <c r="L56" s="86"/>
      <c r="M56" s="68">
        <v>0.7</v>
      </c>
      <c r="N56" s="85"/>
      <c r="O56" s="85">
        <v>45964</v>
      </c>
      <c r="P56" s="75" t="s">
        <v>30</v>
      </c>
      <c r="Q56" s="76">
        <v>8</v>
      </c>
      <c r="R56" s="76">
        <v>10</v>
      </c>
      <c r="S56" s="75" t="s">
        <v>802</v>
      </c>
      <c r="T56" s="75" t="s">
        <v>381</v>
      </c>
      <c r="U56" s="75" t="s">
        <v>415</v>
      </c>
      <c r="V56" s="75" t="s">
        <v>416</v>
      </c>
      <c r="W56" s="75" t="s">
        <v>489</v>
      </c>
      <c r="X56" s="75" t="s">
        <v>493</v>
      </c>
      <c r="Y56" s="76">
        <v>5</v>
      </c>
      <c r="Z56" s="75" t="s">
        <v>419</v>
      </c>
      <c r="AA56" s="76">
        <v>870</v>
      </c>
      <c r="AB56" s="75" t="s">
        <v>420</v>
      </c>
      <c r="AC56" s="76">
        <v>235</v>
      </c>
      <c r="AD56" s="76">
        <v>5</v>
      </c>
      <c r="AE56" s="75" t="s">
        <v>383</v>
      </c>
      <c r="AF56" s="76">
        <v>1</v>
      </c>
      <c r="AG56" s="75" t="s">
        <v>418</v>
      </c>
      <c r="AH56" s="76">
        <v>1</v>
      </c>
      <c r="AJ56" s="77" t="s">
        <v>494</v>
      </c>
      <c r="AK56" s="87">
        <v>45964</v>
      </c>
      <c r="AL56" s="78" t="s">
        <v>366</v>
      </c>
      <c r="AM56" s="79">
        <v>1</v>
      </c>
      <c r="AN56" s="78" t="s">
        <v>347</v>
      </c>
      <c r="AO56" s="78" t="s">
        <v>334</v>
      </c>
      <c r="AP56" s="79">
        <v>5</v>
      </c>
      <c r="AQ56" s="80" t="s">
        <v>495</v>
      </c>
      <c r="AR56" s="80" t="s">
        <v>396</v>
      </c>
      <c r="AS56" s="81" t="s">
        <v>433</v>
      </c>
      <c r="AT56" s="80" t="s">
        <v>410</v>
      </c>
      <c r="AU56" s="80" t="s">
        <v>395</v>
      </c>
      <c r="AV56" s="82">
        <v>0</v>
      </c>
      <c r="AW56" s="80" t="s">
        <v>577</v>
      </c>
      <c r="AX56" s="80" t="s">
        <v>432</v>
      </c>
      <c r="AY56" s="83" t="s">
        <v>387</v>
      </c>
    </row>
    <row r="57" spans="1:51" x14ac:dyDescent="0.25">
      <c r="A57" s="75" t="s">
        <v>380</v>
      </c>
      <c r="B57" s="76">
        <v>81</v>
      </c>
      <c r="C57" s="76">
        <v>561</v>
      </c>
      <c r="D57" s="76">
        <v>800</v>
      </c>
      <c r="E57" s="85">
        <v>45968</v>
      </c>
      <c r="F57" s="76">
        <v>477</v>
      </c>
      <c r="G57" s="75" t="s">
        <v>489</v>
      </c>
      <c r="H57" s="75" t="s">
        <v>654</v>
      </c>
      <c r="I57" s="75" t="s">
        <v>654</v>
      </c>
      <c r="J57" s="75" t="s">
        <v>655</v>
      </c>
      <c r="K57" s="68">
        <v>20</v>
      </c>
      <c r="L57" s="86"/>
      <c r="M57" s="68">
        <v>20</v>
      </c>
      <c r="N57" s="85"/>
      <c r="O57" s="85">
        <v>46001</v>
      </c>
      <c r="P57" s="75"/>
      <c r="Q57" s="76">
        <v>4</v>
      </c>
      <c r="R57" s="76">
        <v>8</v>
      </c>
      <c r="S57" s="75" t="s">
        <v>37</v>
      </c>
      <c r="T57" s="75" t="s">
        <v>381</v>
      </c>
      <c r="U57" s="75" t="s">
        <v>415</v>
      </c>
      <c r="V57" s="75" t="s">
        <v>416</v>
      </c>
      <c r="W57" s="75" t="s">
        <v>489</v>
      </c>
      <c r="X57" s="75" t="s">
        <v>493</v>
      </c>
      <c r="Y57" s="76">
        <v>5</v>
      </c>
      <c r="Z57" s="75" t="s">
        <v>33</v>
      </c>
      <c r="AA57" s="76">
        <v>972</v>
      </c>
      <c r="AB57" s="75" t="s">
        <v>656</v>
      </c>
      <c r="AC57" s="76">
        <v>180</v>
      </c>
      <c r="AD57" s="76">
        <v>5</v>
      </c>
      <c r="AE57" s="75" t="s">
        <v>383</v>
      </c>
      <c r="AF57" s="76">
        <v>1</v>
      </c>
      <c r="AG57" s="75" t="s">
        <v>418</v>
      </c>
      <c r="AH57" s="76"/>
      <c r="AJ57" s="77" t="s">
        <v>657</v>
      </c>
      <c r="AK57" s="87">
        <v>45982</v>
      </c>
      <c r="AL57" s="78" t="s">
        <v>366</v>
      </c>
      <c r="AM57" s="79">
        <v>1</v>
      </c>
      <c r="AN57" s="78"/>
      <c r="AO57" s="78"/>
      <c r="AP57" s="79"/>
      <c r="AQ57" s="80" t="s">
        <v>665</v>
      </c>
      <c r="AR57" s="80" t="s">
        <v>396</v>
      </c>
      <c r="AS57" s="81" t="s">
        <v>433</v>
      </c>
      <c r="AT57" s="80" t="s">
        <v>431</v>
      </c>
      <c r="AU57" s="80" t="s">
        <v>395</v>
      </c>
      <c r="AV57" s="82">
        <v>0</v>
      </c>
      <c r="AW57" s="80" t="s">
        <v>379</v>
      </c>
      <c r="AX57" s="80" t="s">
        <v>432</v>
      </c>
      <c r="AY57" s="83" t="s">
        <v>387</v>
      </c>
    </row>
    <row r="58" spans="1:51" x14ac:dyDescent="0.25">
      <c r="A58" s="75" t="s">
        <v>380</v>
      </c>
      <c r="B58" s="76">
        <v>82</v>
      </c>
      <c r="C58" s="76">
        <v>561</v>
      </c>
      <c r="D58" s="76">
        <v>800</v>
      </c>
      <c r="E58" s="85">
        <v>45968</v>
      </c>
      <c r="F58" s="76">
        <v>477</v>
      </c>
      <c r="G58" s="75" t="s">
        <v>489</v>
      </c>
      <c r="H58" s="75" t="s">
        <v>658</v>
      </c>
      <c r="I58" s="75" t="s">
        <v>658</v>
      </c>
      <c r="J58" s="75" t="s">
        <v>655</v>
      </c>
      <c r="K58" s="68">
        <v>5</v>
      </c>
      <c r="L58" s="86"/>
      <c r="M58" s="68">
        <v>5</v>
      </c>
      <c r="N58" s="85"/>
      <c r="O58" s="85">
        <v>46001</v>
      </c>
      <c r="P58" s="75"/>
      <c r="Q58" s="76">
        <v>4</v>
      </c>
      <c r="R58" s="76">
        <v>8</v>
      </c>
      <c r="S58" s="75" t="s">
        <v>659</v>
      </c>
      <c r="T58" s="75" t="s">
        <v>381</v>
      </c>
      <c r="U58" s="75" t="s">
        <v>415</v>
      </c>
      <c r="V58" s="75" t="s">
        <v>416</v>
      </c>
      <c r="W58" s="75" t="s">
        <v>489</v>
      </c>
      <c r="X58" s="75" t="s">
        <v>493</v>
      </c>
      <c r="Y58" s="76">
        <v>5</v>
      </c>
      <c r="Z58" s="75" t="s">
        <v>33</v>
      </c>
      <c r="AA58" s="76">
        <v>972</v>
      </c>
      <c r="AB58" s="75" t="s">
        <v>656</v>
      </c>
      <c r="AC58" s="76">
        <v>180</v>
      </c>
      <c r="AD58" s="76">
        <v>5</v>
      </c>
      <c r="AE58" s="75" t="s">
        <v>383</v>
      </c>
      <c r="AF58" s="76">
        <v>1</v>
      </c>
      <c r="AG58" s="75" t="s">
        <v>418</v>
      </c>
      <c r="AH58" s="76"/>
      <c r="AJ58" s="77" t="s">
        <v>657</v>
      </c>
      <c r="AK58" s="87">
        <v>45982</v>
      </c>
      <c r="AL58" s="78" t="s">
        <v>366</v>
      </c>
      <c r="AM58" s="79">
        <v>1</v>
      </c>
      <c r="AN58" s="78"/>
      <c r="AO58" s="78"/>
      <c r="AP58" s="79"/>
      <c r="AQ58" s="80" t="s">
        <v>665</v>
      </c>
      <c r="AR58" s="80" t="s">
        <v>396</v>
      </c>
      <c r="AS58" s="81" t="s">
        <v>433</v>
      </c>
      <c r="AT58" s="80" t="s">
        <v>410</v>
      </c>
      <c r="AU58" s="80" t="s">
        <v>395</v>
      </c>
      <c r="AV58" s="82">
        <v>0</v>
      </c>
      <c r="AW58" s="80" t="s">
        <v>379</v>
      </c>
      <c r="AX58" s="80" t="s">
        <v>432</v>
      </c>
      <c r="AY58" s="83" t="s">
        <v>387</v>
      </c>
    </row>
    <row r="59" spans="1:51" x14ac:dyDescent="0.25">
      <c r="A59" s="75" t="s">
        <v>380</v>
      </c>
      <c r="B59" s="76">
        <v>83</v>
      </c>
      <c r="C59" s="76">
        <v>561</v>
      </c>
      <c r="D59" s="76">
        <v>800</v>
      </c>
      <c r="E59" s="85">
        <v>45968</v>
      </c>
      <c r="F59" s="76">
        <v>477</v>
      </c>
      <c r="G59" s="75" t="s">
        <v>489</v>
      </c>
      <c r="H59" s="75" t="s">
        <v>660</v>
      </c>
      <c r="I59" s="75" t="s">
        <v>660</v>
      </c>
      <c r="J59" s="75" t="s">
        <v>661</v>
      </c>
      <c r="K59" s="68">
        <v>20</v>
      </c>
      <c r="L59" s="86"/>
      <c r="M59" s="68">
        <v>20</v>
      </c>
      <c r="N59" s="85"/>
      <c r="O59" s="85">
        <v>46001</v>
      </c>
      <c r="P59" s="75"/>
      <c r="Q59" s="76"/>
      <c r="R59" s="76"/>
      <c r="S59" s="75" t="s">
        <v>37</v>
      </c>
      <c r="T59" s="75" t="s">
        <v>381</v>
      </c>
      <c r="U59" s="75" t="s">
        <v>415</v>
      </c>
      <c r="V59" s="75" t="s">
        <v>416</v>
      </c>
      <c r="W59" s="75" t="s">
        <v>489</v>
      </c>
      <c r="X59" s="75" t="s">
        <v>493</v>
      </c>
      <c r="Y59" s="76">
        <v>5</v>
      </c>
      <c r="Z59" s="75" t="s">
        <v>33</v>
      </c>
      <c r="AA59" s="76">
        <v>296</v>
      </c>
      <c r="AB59" s="75" t="s">
        <v>662</v>
      </c>
      <c r="AC59" s="76">
        <v>180</v>
      </c>
      <c r="AD59" s="76">
        <v>5</v>
      </c>
      <c r="AE59" s="75" t="s">
        <v>383</v>
      </c>
      <c r="AF59" s="76">
        <v>1</v>
      </c>
      <c r="AG59" s="75" t="s">
        <v>418</v>
      </c>
      <c r="AH59" s="76"/>
      <c r="AJ59" s="77" t="s">
        <v>657</v>
      </c>
      <c r="AK59" s="87">
        <v>45982</v>
      </c>
      <c r="AL59" s="78" t="s">
        <v>366</v>
      </c>
      <c r="AM59" s="79">
        <v>1</v>
      </c>
      <c r="AN59" s="78"/>
      <c r="AO59" s="78"/>
      <c r="AP59" s="79"/>
      <c r="AQ59" s="80" t="s">
        <v>665</v>
      </c>
      <c r="AR59" s="80" t="s">
        <v>396</v>
      </c>
      <c r="AS59" s="81" t="s">
        <v>433</v>
      </c>
      <c r="AT59" s="80" t="s">
        <v>431</v>
      </c>
      <c r="AU59" s="80" t="s">
        <v>395</v>
      </c>
      <c r="AV59" s="82">
        <v>0</v>
      </c>
      <c r="AW59" s="80" t="s">
        <v>379</v>
      </c>
      <c r="AX59" s="80" t="s">
        <v>432</v>
      </c>
      <c r="AY59" s="83" t="s">
        <v>387</v>
      </c>
    </row>
    <row r="60" spans="1:51" x14ac:dyDescent="0.25">
      <c r="A60" s="75" t="s">
        <v>380</v>
      </c>
      <c r="B60" s="76">
        <v>84</v>
      </c>
      <c r="C60" s="76">
        <v>561</v>
      </c>
      <c r="D60" s="76">
        <v>800</v>
      </c>
      <c r="E60" s="85">
        <v>45968</v>
      </c>
      <c r="F60" s="76">
        <v>477</v>
      </c>
      <c r="G60" s="75" t="s">
        <v>489</v>
      </c>
      <c r="H60" s="75" t="s">
        <v>663</v>
      </c>
      <c r="I60" s="75" t="s">
        <v>663</v>
      </c>
      <c r="J60" s="75" t="s">
        <v>661</v>
      </c>
      <c r="K60" s="68">
        <v>5</v>
      </c>
      <c r="L60" s="86"/>
      <c r="M60" s="68">
        <v>5</v>
      </c>
      <c r="N60" s="85"/>
      <c r="O60" s="85">
        <v>46001</v>
      </c>
      <c r="P60" s="75"/>
      <c r="Q60" s="76"/>
      <c r="R60" s="76"/>
      <c r="S60" s="75" t="s">
        <v>659</v>
      </c>
      <c r="T60" s="75" t="s">
        <v>381</v>
      </c>
      <c r="U60" s="75" t="s">
        <v>415</v>
      </c>
      <c r="V60" s="75" t="s">
        <v>416</v>
      </c>
      <c r="W60" s="75" t="s">
        <v>489</v>
      </c>
      <c r="X60" s="75" t="s">
        <v>493</v>
      </c>
      <c r="Y60" s="76">
        <v>5</v>
      </c>
      <c r="Z60" s="75" t="s">
        <v>33</v>
      </c>
      <c r="AA60" s="76">
        <v>296</v>
      </c>
      <c r="AB60" s="75" t="s">
        <v>662</v>
      </c>
      <c r="AC60" s="76">
        <v>180</v>
      </c>
      <c r="AD60" s="76">
        <v>5</v>
      </c>
      <c r="AE60" s="75" t="s">
        <v>383</v>
      </c>
      <c r="AF60" s="76">
        <v>1</v>
      </c>
      <c r="AG60" s="75" t="s">
        <v>418</v>
      </c>
      <c r="AH60" s="76"/>
      <c r="AJ60" s="77" t="s">
        <v>657</v>
      </c>
      <c r="AK60" s="87">
        <v>45982</v>
      </c>
      <c r="AL60" s="78" t="s">
        <v>366</v>
      </c>
      <c r="AM60" s="79">
        <v>1</v>
      </c>
      <c r="AN60" s="78"/>
      <c r="AO60" s="78"/>
      <c r="AP60" s="79"/>
      <c r="AQ60" s="80" t="s">
        <v>665</v>
      </c>
      <c r="AR60" s="80" t="s">
        <v>396</v>
      </c>
      <c r="AS60" s="81" t="s">
        <v>433</v>
      </c>
      <c r="AT60" s="80" t="s">
        <v>410</v>
      </c>
      <c r="AU60" s="80" t="s">
        <v>395</v>
      </c>
      <c r="AV60" s="82">
        <v>0</v>
      </c>
      <c r="AW60" s="80" t="s">
        <v>379</v>
      </c>
      <c r="AX60" s="80" t="s">
        <v>432</v>
      </c>
      <c r="AY60" s="83" t="s">
        <v>387</v>
      </c>
    </row>
    <row r="61" spans="1:51" x14ac:dyDescent="0.25">
      <c r="A61" s="75" t="s">
        <v>380</v>
      </c>
      <c r="B61" s="76">
        <v>85</v>
      </c>
      <c r="C61" s="76">
        <v>779</v>
      </c>
      <c r="D61" s="76">
        <v>0</v>
      </c>
      <c r="E61" s="85">
        <v>45959</v>
      </c>
      <c r="F61" s="76">
        <v>484</v>
      </c>
      <c r="G61" s="75" t="s">
        <v>556</v>
      </c>
      <c r="H61" s="75" t="s">
        <v>557</v>
      </c>
      <c r="I61" s="75" t="s">
        <v>558</v>
      </c>
      <c r="J61" s="75" t="s">
        <v>559</v>
      </c>
      <c r="K61" s="68">
        <v>1000</v>
      </c>
      <c r="L61" s="86"/>
      <c r="M61" s="68">
        <v>1000</v>
      </c>
      <c r="N61" s="85"/>
      <c r="O61" s="85">
        <v>46036</v>
      </c>
      <c r="P61" s="75" t="s">
        <v>31</v>
      </c>
      <c r="Q61" s="76">
        <v>8</v>
      </c>
      <c r="R61" s="76">
        <v>10</v>
      </c>
      <c r="S61" s="75" t="s">
        <v>47</v>
      </c>
      <c r="T61" s="75" t="s">
        <v>381</v>
      </c>
      <c r="U61" s="75" t="s">
        <v>415</v>
      </c>
      <c r="V61" s="75" t="s">
        <v>416</v>
      </c>
      <c r="W61" s="75" t="s">
        <v>556</v>
      </c>
      <c r="X61" s="75" t="s">
        <v>560</v>
      </c>
      <c r="Y61" s="76">
        <v>5</v>
      </c>
      <c r="Z61" s="75" t="s">
        <v>419</v>
      </c>
      <c r="AA61" s="76">
        <v>870</v>
      </c>
      <c r="AB61" s="75" t="s">
        <v>420</v>
      </c>
      <c r="AC61" s="76">
        <v>235</v>
      </c>
      <c r="AD61" s="76">
        <v>5</v>
      </c>
      <c r="AE61" s="75" t="s">
        <v>383</v>
      </c>
      <c r="AF61" s="76">
        <v>1</v>
      </c>
      <c r="AG61" s="75" t="s">
        <v>418</v>
      </c>
      <c r="AH61" s="76">
        <v>2</v>
      </c>
      <c r="AJ61" s="77" t="s">
        <v>561</v>
      </c>
      <c r="AK61" s="87"/>
      <c r="AL61" s="78" t="s">
        <v>367</v>
      </c>
      <c r="AM61" s="79">
        <v>1</v>
      </c>
      <c r="AN61" s="78"/>
      <c r="AO61" s="78"/>
      <c r="AP61" s="79"/>
      <c r="AQ61" s="80" t="s">
        <v>567</v>
      </c>
      <c r="AR61" s="80" t="s">
        <v>394</v>
      </c>
      <c r="AS61" s="81" t="s">
        <v>433</v>
      </c>
      <c r="AT61" s="80" t="s">
        <v>431</v>
      </c>
      <c r="AU61" s="80" t="s">
        <v>395</v>
      </c>
      <c r="AV61" s="82">
        <v>0</v>
      </c>
      <c r="AW61" s="80" t="s">
        <v>379</v>
      </c>
      <c r="AX61" s="80" t="s">
        <v>432</v>
      </c>
      <c r="AY61" s="83" t="s">
        <v>387</v>
      </c>
    </row>
    <row r="62" spans="1:51" x14ac:dyDescent="0.25">
      <c r="A62" s="75" t="s">
        <v>380</v>
      </c>
      <c r="B62" s="76">
        <v>86</v>
      </c>
      <c r="C62" s="76">
        <v>811</v>
      </c>
      <c r="D62" s="76">
        <v>0</v>
      </c>
      <c r="E62" s="85">
        <v>45975</v>
      </c>
      <c r="F62" s="76">
        <v>484</v>
      </c>
      <c r="G62" s="75" t="s">
        <v>556</v>
      </c>
      <c r="H62" s="75" t="s">
        <v>735</v>
      </c>
      <c r="I62" s="75" t="s">
        <v>736</v>
      </c>
      <c r="J62" s="75" t="s">
        <v>737</v>
      </c>
      <c r="K62" s="68">
        <v>640</v>
      </c>
      <c r="L62" s="86"/>
      <c r="M62" s="68">
        <v>640</v>
      </c>
      <c r="N62" s="85"/>
      <c r="O62" s="85">
        <v>46036</v>
      </c>
      <c r="P62" s="75" t="s">
        <v>31</v>
      </c>
      <c r="Q62" s="76">
        <v>8</v>
      </c>
      <c r="R62" s="76">
        <v>10</v>
      </c>
      <c r="S62" s="75" t="s">
        <v>37</v>
      </c>
      <c r="T62" s="75" t="s">
        <v>381</v>
      </c>
      <c r="U62" s="75" t="s">
        <v>415</v>
      </c>
      <c r="V62" s="75" t="s">
        <v>416</v>
      </c>
      <c r="W62" s="75" t="s">
        <v>556</v>
      </c>
      <c r="X62" s="75" t="s">
        <v>560</v>
      </c>
      <c r="Y62" s="76">
        <v>5</v>
      </c>
      <c r="Z62" s="75" t="s">
        <v>669</v>
      </c>
      <c r="AA62" s="76">
        <v>745</v>
      </c>
      <c r="AB62" s="75" t="s">
        <v>691</v>
      </c>
      <c r="AC62" s="76">
        <v>125</v>
      </c>
      <c r="AD62" s="76">
        <v>5</v>
      </c>
      <c r="AE62" s="75" t="s">
        <v>383</v>
      </c>
      <c r="AF62" s="76">
        <v>1</v>
      </c>
      <c r="AG62" s="75" t="s">
        <v>418</v>
      </c>
      <c r="AH62" s="76">
        <v>2</v>
      </c>
      <c r="AJ62" s="77" t="s">
        <v>561</v>
      </c>
      <c r="AK62" s="87"/>
      <c r="AL62" s="78" t="s">
        <v>367</v>
      </c>
      <c r="AM62" s="79">
        <v>1</v>
      </c>
      <c r="AN62" s="78"/>
      <c r="AO62" s="78"/>
      <c r="AP62" s="79"/>
      <c r="AQ62" s="80" t="s">
        <v>774</v>
      </c>
      <c r="AR62" s="80" t="s">
        <v>394</v>
      </c>
      <c r="AS62" s="81" t="s">
        <v>433</v>
      </c>
      <c r="AT62" s="80" t="s">
        <v>431</v>
      </c>
      <c r="AU62" s="80" t="s">
        <v>395</v>
      </c>
      <c r="AV62" s="82">
        <v>0</v>
      </c>
      <c r="AW62" s="80" t="s">
        <v>379</v>
      </c>
      <c r="AX62" s="80" t="s">
        <v>432</v>
      </c>
      <c r="AY62" s="83" t="s">
        <v>387</v>
      </c>
    </row>
    <row r="63" spans="1:51" x14ac:dyDescent="0.25">
      <c r="A63" s="75" t="s">
        <v>380</v>
      </c>
      <c r="B63" s="76">
        <v>87</v>
      </c>
      <c r="C63" s="76">
        <v>823</v>
      </c>
      <c r="D63" s="76">
        <v>0</v>
      </c>
      <c r="E63" s="85">
        <v>45979</v>
      </c>
      <c r="F63" s="76">
        <v>492</v>
      </c>
      <c r="G63" s="75" t="s">
        <v>803</v>
      </c>
      <c r="H63" s="75" t="s">
        <v>452</v>
      </c>
      <c r="I63" s="75" t="s">
        <v>804</v>
      </c>
      <c r="J63" s="75" t="s">
        <v>805</v>
      </c>
      <c r="K63" s="68">
        <v>5000</v>
      </c>
      <c r="L63" s="86"/>
      <c r="M63" s="68">
        <v>5000</v>
      </c>
      <c r="N63" s="85"/>
      <c r="O63" s="85">
        <v>46049</v>
      </c>
      <c r="P63" s="75" t="s">
        <v>414</v>
      </c>
      <c r="Q63" s="76">
        <v>8</v>
      </c>
      <c r="R63" s="76">
        <v>10</v>
      </c>
      <c r="S63" s="75" t="s">
        <v>47</v>
      </c>
      <c r="T63" s="75" t="s">
        <v>381</v>
      </c>
      <c r="U63" s="75" t="s">
        <v>415</v>
      </c>
      <c r="V63" s="75" t="s">
        <v>416</v>
      </c>
      <c r="W63" s="75" t="s">
        <v>806</v>
      </c>
      <c r="X63" s="75" t="s">
        <v>807</v>
      </c>
      <c r="Y63" s="76">
        <v>5</v>
      </c>
      <c r="Z63" s="75" t="s">
        <v>419</v>
      </c>
      <c r="AA63" s="76">
        <v>870</v>
      </c>
      <c r="AB63" s="75" t="s">
        <v>420</v>
      </c>
      <c r="AC63" s="76">
        <v>235</v>
      </c>
      <c r="AD63" s="76">
        <v>5</v>
      </c>
      <c r="AE63" s="75" t="s">
        <v>383</v>
      </c>
      <c r="AF63" s="76">
        <v>1</v>
      </c>
      <c r="AG63" s="75" t="s">
        <v>418</v>
      </c>
      <c r="AH63" s="76">
        <v>70</v>
      </c>
      <c r="AJ63" s="77" t="s">
        <v>808</v>
      </c>
      <c r="AK63" s="87"/>
      <c r="AL63" s="78" t="s">
        <v>366</v>
      </c>
      <c r="AM63" s="79">
        <v>1</v>
      </c>
      <c r="AN63" s="78"/>
      <c r="AO63" s="78"/>
      <c r="AP63" s="79"/>
      <c r="AQ63" s="80" t="s">
        <v>855</v>
      </c>
      <c r="AR63" s="80" t="s">
        <v>394</v>
      </c>
      <c r="AS63" s="81" t="s">
        <v>433</v>
      </c>
      <c r="AT63" s="80" t="s">
        <v>431</v>
      </c>
      <c r="AU63" s="80" t="s">
        <v>395</v>
      </c>
      <c r="AV63" s="82">
        <v>0</v>
      </c>
      <c r="AW63" s="80" t="s">
        <v>379</v>
      </c>
      <c r="AX63" s="80" t="s">
        <v>432</v>
      </c>
      <c r="AY63" s="83" t="s">
        <v>387</v>
      </c>
    </row>
    <row r="64" spans="1:51" x14ac:dyDescent="0.25">
      <c r="A64" s="75" t="s">
        <v>380</v>
      </c>
      <c r="B64" s="76">
        <v>89</v>
      </c>
      <c r="C64" s="76">
        <v>699</v>
      </c>
      <c r="D64" s="76">
        <v>0</v>
      </c>
      <c r="E64" s="85">
        <v>45889</v>
      </c>
      <c r="F64" s="76">
        <v>557</v>
      </c>
      <c r="G64" s="75" t="s">
        <v>405</v>
      </c>
      <c r="H64" s="75" t="s">
        <v>407</v>
      </c>
      <c r="I64" s="75" t="s">
        <v>408</v>
      </c>
      <c r="J64" s="75" t="s">
        <v>409</v>
      </c>
      <c r="K64" s="68">
        <v>500</v>
      </c>
      <c r="L64" s="86"/>
      <c r="M64" s="68">
        <v>500</v>
      </c>
      <c r="N64" s="85"/>
      <c r="O64" s="85">
        <v>46052</v>
      </c>
      <c r="P64" s="75" t="s">
        <v>30</v>
      </c>
      <c r="Q64" s="76">
        <v>4</v>
      </c>
      <c r="R64" s="76">
        <v>8</v>
      </c>
      <c r="S64" s="75" t="s">
        <v>46</v>
      </c>
      <c r="T64" s="75" t="s">
        <v>381</v>
      </c>
      <c r="U64" s="75" t="s">
        <v>415</v>
      </c>
      <c r="V64" s="75" t="s">
        <v>416</v>
      </c>
      <c r="W64" s="75" t="s">
        <v>405</v>
      </c>
      <c r="X64" s="75" t="s">
        <v>406</v>
      </c>
      <c r="Y64" s="76">
        <v>6</v>
      </c>
      <c r="Z64" s="75" t="s">
        <v>36</v>
      </c>
      <c r="AA64" s="76">
        <v>364</v>
      </c>
      <c r="AB64" s="75" t="s">
        <v>429</v>
      </c>
      <c r="AC64" s="76">
        <v>295</v>
      </c>
      <c r="AD64" s="76">
        <v>6</v>
      </c>
      <c r="AE64" s="75" t="s">
        <v>382</v>
      </c>
      <c r="AF64" s="76">
        <v>1</v>
      </c>
      <c r="AG64" s="75" t="s">
        <v>418</v>
      </c>
      <c r="AH64" s="76">
        <v>1</v>
      </c>
      <c r="AJ64" s="77" t="s">
        <v>411</v>
      </c>
      <c r="AK64" s="87"/>
      <c r="AL64" s="78" t="s">
        <v>366</v>
      </c>
      <c r="AM64" s="79">
        <v>1</v>
      </c>
      <c r="AN64" s="78" t="s">
        <v>347</v>
      </c>
      <c r="AO64" s="78" t="s">
        <v>334</v>
      </c>
      <c r="AP64" s="79">
        <v>5</v>
      </c>
      <c r="AQ64" s="80" t="s">
        <v>412</v>
      </c>
      <c r="AR64" s="80" t="s">
        <v>394</v>
      </c>
      <c r="AS64" s="81" t="s">
        <v>398</v>
      </c>
      <c r="AT64" s="80" t="s">
        <v>437</v>
      </c>
      <c r="AU64" s="80" t="s">
        <v>395</v>
      </c>
      <c r="AV64" s="82">
        <v>0</v>
      </c>
      <c r="AW64" s="80" t="s">
        <v>379</v>
      </c>
      <c r="AX64" s="80" t="s">
        <v>432</v>
      </c>
      <c r="AY64" s="83" t="s">
        <v>387</v>
      </c>
    </row>
    <row r="65" spans="1:51" x14ac:dyDescent="0.25">
      <c r="A65" s="75" t="s">
        <v>380</v>
      </c>
      <c r="B65" s="76">
        <v>90</v>
      </c>
      <c r="C65" s="76">
        <v>700</v>
      </c>
      <c r="D65" s="76">
        <v>0</v>
      </c>
      <c r="E65" s="85">
        <v>45889</v>
      </c>
      <c r="F65" s="76">
        <v>557</v>
      </c>
      <c r="G65" s="75" t="s">
        <v>405</v>
      </c>
      <c r="H65" s="75" t="s">
        <v>407</v>
      </c>
      <c r="I65" s="75" t="s">
        <v>408</v>
      </c>
      <c r="J65" s="75" t="s">
        <v>409</v>
      </c>
      <c r="K65" s="68">
        <v>500</v>
      </c>
      <c r="L65" s="86"/>
      <c r="M65" s="68">
        <v>500</v>
      </c>
      <c r="N65" s="85"/>
      <c r="O65" s="85">
        <v>46171</v>
      </c>
      <c r="P65" s="75" t="s">
        <v>30</v>
      </c>
      <c r="Q65" s="76">
        <v>4</v>
      </c>
      <c r="R65" s="76">
        <v>8</v>
      </c>
      <c r="S65" s="75" t="s">
        <v>46</v>
      </c>
      <c r="T65" s="75" t="s">
        <v>381</v>
      </c>
      <c r="U65" s="75" t="s">
        <v>415</v>
      </c>
      <c r="V65" s="75" t="s">
        <v>416</v>
      </c>
      <c r="W65" s="75" t="s">
        <v>405</v>
      </c>
      <c r="X65" s="75" t="s">
        <v>406</v>
      </c>
      <c r="Y65" s="76">
        <v>6</v>
      </c>
      <c r="Z65" s="75" t="s">
        <v>36</v>
      </c>
      <c r="AA65" s="76">
        <v>364</v>
      </c>
      <c r="AB65" s="75" t="s">
        <v>429</v>
      </c>
      <c r="AC65" s="76">
        <v>295</v>
      </c>
      <c r="AD65" s="76">
        <v>6</v>
      </c>
      <c r="AE65" s="75" t="s">
        <v>382</v>
      </c>
      <c r="AF65" s="76">
        <v>1</v>
      </c>
      <c r="AG65" s="75" t="s">
        <v>418</v>
      </c>
      <c r="AH65" s="76">
        <v>1</v>
      </c>
      <c r="AJ65" s="77" t="s">
        <v>411</v>
      </c>
      <c r="AK65" s="87"/>
      <c r="AL65" s="78" t="s">
        <v>366</v>
      </c>
      <c r="AM65" s="79">
        <v>1</v>
      </c>
      <c r="AN65" s="78" t="s">
        <v>347</v>
      </c>
      <c r="AO65" s="78" t="s">
        <v>334</v>
      </c>
      <c r="AP65" s="79">
        <v>5</v>
      </c>
      <c r="AQ65" s="80" t="s">
        <v>413</v>
      </c>
      <c r="AR65" s="80" t="s">
        <v>394</v>
      </c>
      <c r="AS65" s="81" t="s">
        <v>398</v>
      </c>
      <c r="AT65" s="80" t="s">
        <v>437</v>
      </c>
      <c r="AU65" s="80" t="s">
        <v>395</v>
      </c>
      <c r="AV65" s="82">
        <v>0</v>
      </c>
      <c r="AW65" s="80" t="s">
        <v>379</v>
      </c>
      <c r="AX65" s="80" t="s">
        <v>432</v>
      </c>
      <c r="AY65" s="83" t="s">
        <v>387</v>
      </c>
    </row>
    <row r="66" spans="1:51" x14ac:dyDescent="0.25">
      <c r="A66" s="75" t="s">
        <v>380</v>
      </c>
      <c r="B66" s="76">
        <v>91</v>
      </c>
      <c r="C66" s="76">
        <v>735</v>
      </c>
      <c r="D66" s="76">
        <v>0</v>
      </c>
      <c r="E66" s="85">
        <v>45929</v>
      </c>
      <c r="F66" s="76">
        <v>557</v>
      </c>
      <c r="G66" s="75" t="s">
        <v>405</v>
      </c>
      <c r="H66" s="75" t="s">
        <v>473</v>
      </c>
      <c r="I66" s="75" t="s">
        <v>474</v>
      </c>
      <c r="J66" s="75" t="s">
        <v>475</v>
      </c>
      <c r="K66" s="68">
        <v>250</v>
      </c>
      <c r="L66" s="86"/>
      <c r="M66" s="68">
        <v>250</v>
      </c>
      <c r="N66" s="85"/>
      <c r="O66" s="85">
        <v>45993</v>
      </c>
      <c r="P66" s="75"/>
      <c r="Q66" s="76">
        <v>8</v>
      </c>
      <c r="R66" s="76">
        <v>10</v>
      </c>
      <c r="S66" s="75" t="s">
        <v>312</v>
      </c>
      <c r="T66" s="75" t="s">
        <v>381</v>
      </c>
      <c r="U66" s="75" t="s">
        <v>415</v>
      </c>
      <c r="V66" s="75" t="s">
        <v>416</v>
      </c>
      <c r="W66" s="75" t="s">
        <v>405</v>
      </c>
      <c r="X66" s="75" t="s">
        <v>406</v>
      </c>
      <c r="Y66" s="76">
        <v>6</v>
      </c>
      <c r="Z66" s="75" t="s">
        <v>447</v>
      </c>
      <c r="AA66" s="76">
        <v>135</v>
      </c>
      <c r="AB66" s="75" t="s">
        <v>417</v>
      </c>
      <c r="AC66" s="76">
        <v>215</v>
      </c>
      <c r="AD66" s="76">
        <v>6</v>
      </c>
      <c r="AE66" s="75" t="s">
        <v>382</v>
      </c>
      <c r="AF66" s="76">
        <v>1</v>
      </c>
      <c r="AG66" s="75" t="s">
        <v>418</v>
      </c>
      <c r="AH66" s="76"/>
      <c r="AJ66" s="77" t="s">
        <v>476</v>
      </c>
      <c r="AK66" s="87"/>
      <c r="AL66" s="78" t="s">
        <v>366</v>
      </c>
      <c r="AM66" s="79">
        <v>1</v>
      </c>
      <c r="AN66" s="78"/>
      <c r="AO66" s="78"/>
      <c r="AP66" s="79"/>
      <c r="AQ66" s="80" t="s">
        <v>477</v>
      </c>
      <c r="AR66" s="80" t="s">
        <v>394</v>
      </c>
      <c r="AS66" s="81" t="s">
        <v>398</v>
      </c>
      <c r="AT66" s="80" t="s">
        <v>431</v>
      </c>
      <c r="AU66" s="80" t="s">
        <v>395</v>
      </c>
      <c r="AV66" s="82">
        <v>0</v>
      </c>
      <c r="AW66" s="80" t="s">
        <v>379</v>
      </c>
      <c r="AX66" s="80" t="s">
        <v>432</v>
      </c>
      <c r="AY66" s="83" t="s">
        <v>387</v>
      </c>
    </row>
    <row r="67" spans="1:51" x14ac:dyDescent="0.25">
      <c r="A67" s="75" t="s">
        <v>380</v>
      </c>
      <c r="B67" s="76">
        <v>92</v>
      </c>
      <c r="C67" s="76">
        <v>789</v>
      </c>
      <c r="D67" s="76">
        <v>0</v>
      </c>
      <c r="E67" s="85">
        <v>45966</v>
      </c>
      <c r="F67" s="76">
        <v>557</v>
      </c>
      <c r="G67" s="75" t="s">
        <v>405</v>
      </c>
      <c r="H67" s="75" t="s">
        <v>473</v>
      </c>
      <c r="I67" s="75" t="s">
        <v>474</v>
      </c>
      <c r="J67" s="75" t="s">
        <v>475</v>
      </c>
      <c r="K67" s="68">
        <v>100</v>
      </c>
      <c r="L67" s="86"/>
      <c r="M67" s="68">
        <v>100</v>
      </c>
      <c r="N67" s="85"/>
      <c r="O67" s="85">
        <v>45993</v>
      </c>
      <c r="P67" s="75" t="s">
        <v>59</v>
      </c>
      <c r="Q67" s="76">
        <v>8</v>
      </c>
      <c r="R67" s="76">
        <v>10</v>
      </c>
      <c r="S67" s="75" t="s">
        <v>312</v>
      </c>
      <c r="T67" s="75" t="s">
        <v>381</v>
      </c>
      <c r="U67" s="75" t="s">
        <v>415</v>
      </c>
      <c r="V67" s="75" t="s">
        <v>416</v>
      </c>
      <c r="W67" s="75" t="s">
        <v>405</v>
      </c>
      <c r="X67" s="75" t="s">
        <v>406</v>
      </c>
      <c r="Y67" s="76">
        <v>6</v>
      </c>
      <c r="Z67" s="75" t="s">
        <v>447</v>
      </c>
      <c r="AA67" s="76">
        <v>135</v>
      </c>
      <c r="AB67" s="75" t="s">
        <v>417</v>
      </c>
      <c r="AC67" s="76">
        <v>215</v>
      </c>
      <c r="AD67" s="76">
        <v>6</v>
      </c>
      <c r="AE67" s="75" t="s">
        <v>382</v>
      </c>
      <c r="AF67" s="76">
        <v>1</v>
      </c>
      <c r="AG67" s="75" t="s">
        <v>418</v>
      </c>
      <c r="AH67" s="76">
        <v>45</v>
      </c>
      <c r="AJ67" s="77" t="s">
        <v>476</v>
      </c>
      <c r="AK67" s="87"/>
      <c r="AL67" s="78" t="s">
        <v>366</v>
      </c>
      <c r="AM67" s="79">
        <v>1</v>
      </c>
      <c r="AN67" s="78"/>
      <c r="AO67" s="78"/>
      <c r="AP67" s="79"/>
      <c r="AQ67" s="80" t="s">
        <v>629</v>
      </c>
      <c r="AR67" s="80" t="s">
        <v>394</v>
      </c>
      <c r="AS67" s="81" t="s">
        <v>398</v>
      </c>
      <c r="AT67" s="80" t="s">
        <v>431</v>
      </c>
      <c r="AU67" s="80" t="s">
        <v>395</v>
      </c>
      <c r="AV67" s="82">
        <v>0</v>
      </c>
      <c r="AW67" s="80" t="s">
        <v>379</v>
      </c>
      <c r="AX67" s="80" t="s">
        <v>432</v>
      </c>
      <c r="AY67" s="83" t="s">
        <v>387</v>
      </c>
    </row>
    <row r="68" spans="1:51" x14ac:dyDescent="0.25">
      <c r="A68" s="75" t="s">
        <v>380</v>
      </c>
      <c r="B68" s="76">
        <v>93</v>
      </c>
      <c r="C68" s="76">
        <v>715</v>
      </c>
      <c r="D68" s="76">
        <v>0</v>
      </c>
      <c r="E68" s="85">
        <v>45912</v>
      </c>
      <c r="F68" s="76">
        <v>568</v>
      </c>
      <c r="G68" s="75" t="s">
        <v>440</v>
      </c>
      <c r="H68" s="75" t="s">
        <v>441</v>
      </c>
      <c r="I68" s="75" t="s">
        <v>442</v>
      </c>
      <c r="J68" s="75" t="s">
        <v>400</v>
      </c>
      <c r="K68" s="68">
        <v>2000</v>
      </c>
      <c r="L68" s="86"/>
      <c r="M68" s="68">
        <v>2000</v>
      </c>
      <c r="N68" s="85"/>
      <c r="O68" s="85">
        <v>46009</v>
      </c>
      <c r="P68" s="75" t="s">
        <v>31</v>
      </c>
      <c r="Q68" s="76">
        <v>8</v>
      </c>
      <c r="R68" s="76">
        <v>10</v>
      </c>
      <c r="S68" s="75" t="s">
        <v>47</v>
      </c>
      <c r="T68" s="75" t="s">
        <v>381</v>
      </c>
      <c r="U68" s="75" t="s">
        <v>415</v>
      </c>
      <c r="V68" s="75" t="s">
        <v>416</v>
      </c>
      <c r="W68" s="75" t="s">
        <v>443</v>
      </c>
      <c r="X68" s="75" t="s">
        <v>444</v>
      </c>
      <c r="Y68" s="76">
        <v>5</v>
      </c>
      <c r="Z68" s="75" t="s">
        <v>419</v>
      </c>
      <c r="AA68" s="76">
        <v>870</v>
      </c>
      <c r="AB68" s="75" t="s">
        <v>420</v>
      </c>
      <c r="AC68" s="76">
        <v>235</v>
      </c>
      <c r="AD68" s="76">
        <v>5</v>
      </c>
      <c r="AE68" s="75" t="s">
        <v>383</v>
      </c>
      <c r="AF68" s="76">
        <v>1</v>
      </c>
      <c r="AG68" s="75" t="s">
        <v>418</v>
      </c>
      <c r="AH68" s="76">
        <v>2</v>
      </c>
      <c r="AJ68" s="77" t="s">
        <v>445</v>
      </c>
      <c r="AK68" s="87"/>
      <c r="AL68" s="78" t="s">
        <v>367</v>
      </c>
      <c r="AM68" s="79">
        <v>1</v>
      </c>
      <c r="AN68" s="78"/>
      <c r="AO68" s="78"/>
      <c r="AP68" s="79"/>
      <c r="AQ68" s="80" t="s">
        <v>446</v>
      </c>
      <c r="AR68" s="80" t="s">
        <v>394</v>
      </c>
      <c r="AS68" s="81" t="s">
        <v>433</v>
      </c>
      <c r="AT68" s="80" t="s">
        <v>431</v>
      </c>
      <c r="AU68" s="80" t="s">
        <v>395</v>
      </c>
      <c r="AV68" s="82">
        <v>0</v>
      </c>
      <c r="AW68" s="80" t="s">
        <v>379</v>
      </c>
      <c r="AX68" s="80" t="s">
        <v>432</v>
      </c>
      <c r="AY68" s="83" t="s">
        <v>387</v>
      </c>
    </row>
    <row r="69" spans="1:51" x14ac:dyDescent="0.25">
      <c r="A69" s="75" t="s">
        <v>380</v>
      </c>
      <c r="B69" s="76">
        <v>94</v>
      </c>
      <c r="C69" s="76">
        <v>763</v>
      </c>
      <c r="D69" s="76">
        <v>0</v>
      </c>
      <c r="E69" s="85">
        <v>45952</v>
      </c>
      <c r="F69" s="76">
        <v>606</v>
      </c>
      <c r="G69" s="75" t="s">
        <v>498</v>
      </c>
      <c r="H69" s="75" t="s">
        <v>499</v>
      </c>
      <c r="I69" s="75" t="s">
        <v>500</v>
      </c>
      <c r="J69" s="75" t="s">
        <v>501</v>
      </c>
      <c r="K69" s="68">
        <v>20000</v>
      </c>
      <c r="L69" s="86"/>
      <c r="M69" s="68">
        <v>20000</v>
      </c>
      <c r="N69" s="85"/>
      <c r="O69" s="85">
        <v>45992</v>
      </c>
      <c r="P69" s="75" t="s">
        <v>40</v>
      </c>
      <c r="Q69" s="76">
        <v>8</v>
      </c>
      <c r="R69" s="76">
        <v>10</v>
      </c>
      <c r="S69" s="75" t="s">
        <v>362</v>
      </c>
      <c r="T69" s="75" t="s">
        <v>381</v>
      </c>
      <c r="U69" s="75" t="s">
        <v>415</v>
      </c>
      <c r="V69" s="75" t="s">
        <v>416</v>
      </c>
      <c r="W69" s="75" t="s">
        <v>502</v>
      </c>
      <c r="X69" s="75" t="s">
        <v>503</v>
      </c>
      <c r="Y69" s="76">
        <v>5</v>
      </c>
      <c r="Z69" s="75" t="s">
        <v>419</v>
      </c>
      <c r="AA69" s="76">
        <v>870</v>
      </c>
      <c r="AB69" s="75" t="s">
        <v>420</v>
      </c>
      <c r="AC69" s="76">
        <v>235</v>
      </c>
      <c r="AD69" s="76">
        <v>5</v>
      </c>
      <c r="AE69" s="75" t="s">
        <v>383</v>
      </c>
      <c r="AF69" s="76">
        <v>1</v>
      </c>
      <c r="AG69" s="75" t="s">
        <v>418</v>
      </c>
      <c r="AH69" s="76">
        <v>5</v>
      </c>
      <c r="AJ69" s="77" t="s">
        <v>504</v>
      </c>
      <c r="AK69" s="87">
        <v>46010</v>
      </c>
      <c r="AL69" s="78" t="s">
        <v>366</v>
      </c>
      <c r="AM69" s="79">
        <v>1</v>
      </c>
      <c r="AN69" s="78" t="s">
        <v>347</v>
      </c>
      <c r="AO69" s="78" t="s">
        <v>334</v>
      </c>
      <c r="AP69" s="79">
        <v>6</v>
      </c>
      <c r="AQ69" s="80" t="s">
        <v>506</v>
      </c>
      <c r="AR69" s="80" t="s">
        <v>394</v>
      </c>
      <c r="AS69" s="81" t="s">
        <v>433</v>
      </c>
      <c r="AT69" s="80" t="s">
        <v>435</v>
      </c>
      <c r="AU69" s="80" t="s">
        <v>395</v>
      </c>
      <c r="AV69" s="82">
        <v>0</v>
      </c>
      <c r="AW69" s="80" t="s">
        <v>379</v>
      </c>
      <c r="AX69" s="80" t="s">
        <v>432</v>
      </c>
      <c r="AY69" s="83" t="s">
        <v>387</v>
      </c>
    </row>
    <row r="70" spans="1:51" x14ac:dyDescent="0.25">
      <c r="A70" s="75" t="s">
        <v>380</v>
      </c>
      <c r="B70" s="76">
        <v>95</v>
      </c>
      <c r="C70" s="76">
        <v>764</v>
      </c>
      <c r="D70" s="76">
        <v>0</v>
      </c>
      <c r="E70" s="85">
        <v>45952</v>
      </c>
      <c r="F70" s="76">
        <v>606</v>
      </c>
      <c r="G70" s="75" t="s">
        <v>498</v>
      </c>
      <c r="H70" s="75" t="s">
        <v>499</v>
      </c>
      <c r="I70" s="75" t="s">
        <v>500</v>
      </c>
      <c r="J70" s="75" t="s">
        <v>501</v>
      </c>
      <c r="K70" s="68">
        <v>20000</v>
      </c>
      <c r="L70" s="86"/>
      <c r="M70" s="68">
        <v>20000</v>
      </c>
      <c r="N70" s="85"/>
      <c r="O70" s="85">
        <v>46000</v>
      </c>
      <c r="P70" s="75"/>
      <c r="Q70" s="76">
        <v>8</v>
      </c>
      <c r="R70" s="76">
        <v>10</v>
      </c>
      <c r="S70" s="75" t="s">
        <v>362</v>
      </c>
      <c r="T70" s="75" t="s">
        <v>381</v>
      </c>
      <c r="U70" s="75" t="s">
        <v>415</v>
      </c>
      <c r="V70" s="75" t="s">
        <v>416</v>
      </c>
      <c r="W70" s="75" t="s">
        <v>502</v>
      </c>
      <c r="X70" s="75" t="s">
        <v>503</v>
      </c>
      <c r="Y70" s="76">
        <v>5</v>
      </c>
      <c r="Z70" s="75" t="s">
        <v>419</v>
      </c>
      <c r="AA70" s="76">
        <v>870</v>
      </c>
      <c r="AB70" s="75" t="s">
        <v>420</v>
      </c>
      <c r="AC70" s="76">
        <v>235</v>
      </c>
      <c r="AD70" s="76">
        <v>5</v>
      </c>
      <c r="AE70" s="75" t="s">
        <v>383</v>
      </c>
      <c r="AF70" s="76">
        <v>1</v>
      </c>
      <c r="AG70" s="75" t="s">
        <v>418</v>
      </c>
      <c r="AH70" s="76"/>
      <c r="AJ70" s="77" t="s">
        <v>505</v>
      </c>
      <c r="AK70" s="87"/>
      <c r="AL70" s="78" t="s">
        <v>366</v>
      </c>
      <c r="AM70" s="79">
        <v>1</v>
      </c>
      <c r="AN70" s="78"/>
      <c r="AO70" s="78"/>
      <c r="AP70" s="79"/>
      <c r="AQ70" s="80" t="s">
        <v>507</v>
      </c>
      <c r="AR70" s="80" t="s">
        <v>394</v>
      </c>
      <c r="AS70" s="81" t="s">
        <v>433</v>
      </c>
      <c r="AT70" s="80" t="s">
        <v>435</v>
      </c>
      <c r="AU70" s="80" t="s">
        <v>395</v>
      </c>
      <c r="AV70" s="82">
        <v>0</v>
      </c>
      <c r="AW70" s="80" t="s">
        <v>379</v>
      </c>
      <c r="AX70" s="80" t="s">
        <v>432</v>
      </c>
      <c r="AY70" s="83" t="s">
        <v>387</v>
      </c>
    </row>
    <row r="71" spans="1:51" x14ac:dyDescent="0.25">
      <c r="A71" s="75" t="s">
        <v>380</v>
      </c>
      <c r="B71" s="76">
        <v>96</v>
      </c>
      <c r="C71" s="76">
        <v>781</v>
      </c>
      <c r="D71" s="76">
        <v>0</v>
      </c>
      <c r="E71" s="85">
        <v>45961</v>
      </c>
      <c r="F71" s="76">
        <v>614</v>
      </c>
      <c r="G71" s="75" t="s">
        <v>568</v>
      </c>
      <c r="H71" s="75" t="s">
        <v>525</v>
      </c>
      <c r="I71" s="75" t="s">
        <v>569</v>
      </c>
      <c r="J71" s="75" t="s">
        <v>400</v>
      </c>
      <c r="K71" s="68">
        <v>2000</v>
      </c>
      <c r="L71" s="86"/>
      <c r="M71" s="68">
        <v>2000</v>
      </c>
      <c r="N71" s="85"/>
      <c r="O71" s="85">
        <v>46041</v>
      </c>
      <c r="P71" s="75" t="s">
        <v>414</v>
      </c>
      <c r="Q71" s="76">
        <v>8</v>
      </c>
      <c r="R71" s="76">
        <v>10</v>
      </c>
      <c r="S71" s="75" t="s">
        <v>243</v>
      </c>
      <c r="T71" s="75" t="s">
        <v>381</v>
      </c>
      <c r="U71" s="75" t="s">
        <v>415</v>
      </c>
      <c r="V71" s="75" t="s">
        <v>416</v>
      </c>
      <c r="W71" s="75" t="s">
        <v>570</v>
      </c>
      <c r="X71" s="75" t="s">
        <v>571</v>
      </c>
      <c r="Y71" s="76">
        <v>5</v>
      </c>
      <c r="Z71" s="75" t="s">
        <v>419</v>
      </c>
      <c r="AA71" s="76">
        <v>870</v>
      </c>
      <c r="AB71" s="75" t="s">
        <v>420</v>
      </c>
      <c r="AC71" s="76">
        <v>235</v>
      </c>
      <c r="AD71" s="76">
        <v>5</v>
      </c>
      <c r="AE71" s="75" t="s">
        <v>383</v>
      </c>
      <c r="AF71" s="76">
        <v>1</v>
      </c>
      <c r="AG71" s="75" t="s">
        <v>418</v>
      </c>
      <c r="AH71" s="76">
        <v>70</v>
      </c>
      <c r="AJ71" s="77" t="s">
        <v>572</v>
      </c>
      <c r="AK71" s="87"/>
      <c r="AL71" s="78" t="s">
        <v>367</v>
      </c>
      <c r="AM71" s="79">
        <v>1</v>
      </c>
      <c r="AN71" s="78"/>
      <c r="AO71" s="78"/>
      <c r="AP71" s="79"/>
      <c r="AQ71" s="80" t="s">
        <v>576</v>
      </c>
      <c r="AR71" s="80" t="s">
        <v>394</v>
      </c>
      <c r="AS71" s="81" t="s">
        <v>433</v>
      </c>
      <c r="AT71" s="80" t="s">
        <v>534</v>
      </c>
      <c r="AU71" s="80" t="s">
        <v>395</v>
      </c>
      <c r="AV71" s="82">
        <v>0</v>
      </c>
      <c r="AW71" s="80" t="s">
        <v>379</v>
      </c>
      <c r="AX71" s="80" t="s">
        <v>432</v>
      </c>
      <c r="AY71" s="83" t="s">
        <v>387</v>
      </c>
    </row>
    <row r="72" spans="1:51" x14ac:dyDescent="0.25">
      <c r="A72" s="75" t="s">
        <v>380</v>
      </c>
      <c r="B72" s="76">
        <v>97</v>
      </c>
      <c r="C72" s="76">
        <v>816</v>
      </c>
      <c r="D72" s="76">
        <v>0</v>
      </c>
      <c r="E72" s="85">
        <v>45978</v>
      </c>
      <c r="F72" s="76">
        <v>614</v>
      </c>
      <c r="G72" s="75" t="s">
        <v>568</v>
      </c>
      <c r="H72" s="75" t="s">
        <v>809</v>
      </c>
      <c r="I72" s="75" t="s">
        <v>810</v>
      </c>
      <c r="J72" s="75" t="s">
        <v>811</v>
      </c>
      <c r="K72" s="68">
        <v>10000</v>
      </c>
      <c r="L72" s="86"/>
      <c r="M72" s="68">
        <v>10000</v>
      </c>
      <c r="N72" s="85"/>
      <c r="O72" s="85">
        <v>46029</v>
      </c>
      <c r="P72" s="75" t="s">
        <v>31</v>
      </c>
      <c r="Q72" s="76"/>
      <c r="R72" s="76"/>
      <c r="S72" s="75" t="s">
        <v>362</v>
      </c>
      <c r="T72" s="75" t="s">
        <v>381</v>
      </c>
      <c r="U72" s="75" t="s">
        <v>415</v>
      </c>
      <c r="V72" s="75" t="s">
        <v>416</v>
      </c>
      <c r="W72" s="75" t="s">
        <v>570</v>
      </c>
      <c r="X72" s="75" t="s">
        <v>571</v>
      </c>
      <c r="Y72" s="76">
        <v>6</v>
      </c>
      <c r="Z72" s="75" t="s">
        <v>36</v>
      </c>
      <c r="AA72" s="76">
        <v>379</v>
      </c>
      <c r="AB72" s="75" t="s">
        <v>812</v>
      </c>
      <c r="AC72" s="76">
        <v>295</v>
      </c>
      <c r="AD72" s="76">
        <v>6</v>
      </c>
      <c r="AE72" s="75" t="s">
        <v>382</v>
      </c>
      <c r="AF72" s="76">
        <v>1</v>
      </c>
      <c r="AG72" s="75" t="s">
        <v>418</v>
      </c>
      <c r="AH72" s="76">
        <v>2</v>
      </c>
      <c r="AJ72" s="77" t="s">
        <v>813</v>
      </c>
      <c r="AK72" s="87"/>
      <c r="AL72" s="78" t="s">
        <v>367</v>
      </c>
      <c r="AM72" s="79">
        <v>1</v>
      </c>
      <c r="AN72" s="78"/>
      <c r="AO72" s="78"/>
      <c r="AP72" s="79"/>
      <c r="AQ72" s="80" t="s">
        <v>856</v>
      </c>
      <c r="AR72" s="80" t="s">
        <v>394</v>
      </c>
      <c r="AS72" s="81" t="s">
        <v>398</v>
      </c>
      <c r="AT72" s="80" t="s">
        <v>435</v>
      </c>
      <c r="AU72" s="80" t="s">
        <v>395</v>
      </c>
      <c r="AV72" s="82">
        <v>0</v>
      </c>
      <c r="AW72" s="80" t="s">
        <v>379</v>
      </c>
      <c r="AX72" s="80" t="s">
        <v>432</v>
      </c>
      <c r="AY72" s="83" t="s">
        <v>387</v>
      </c>
    </row>
    <row r="73" spans="1:51" x14ac:dyDescent="0.25">
      <c r="A73" s="75" t="s">
        <v>380</v>
      </c>
      <c r="B73" s="76">
        <v>98</v>
      </c>
      <c r="C73" s="76">
        <v>826</v>
      </c>
      <c r="D73" s="76">
        <v>0</v>
      </c>
      <c r="E73" s="85">
        <v>45979</v>
      </c>
      <c r="F73" s="76">
        <v>614</v>
      </c>
      <c r="G73" s="75" t="s">
        <v>568</v>
      </c>
      <c r="H73" s="75" t="s">
        <v>525</v>
      </c>
      <c r="I73" s="75" t="s">
        <v>569</v>
      </c>
      <c r="J73" s="75" t="s">
        <v>400</v>
      </c>
      <c r="K73" s="68">
        <v>4000</v>
      </c>
      <c r="L73" s="86"/>
      <c r="M73" s="68">
        <v>4000</v>
      </c>
      <c r="N73" s="85"/>
      <c r="O73" s="85">
        <v>46063</v>
      </c>
      <c r="P73" s="75" t="s">
        <v>31</v>
      </c>
      <c r="Q73" s="76">
        <v>8</v>
      </c>
      <c r="R73" s="76">
        <v>10</v>
      </c>
      <c r="S73" s="75" t="s">
        <v>243</v>
      </c>
      <c r="T73" s="75" t="s">
        <v>381</v>
      </c>
      <c r="U73" s="75" t="s">
        <v>415</v>
      </c>
      <c r="V73" s="75" t="s">
        <v>416</v>
      </c>
      <c r="W73" s="75" t="s">
        <v>570</v>
      </c>
      <c r="X73" s="75" t="s">
        <v>571</v>
      </c>
      <c r="Y73" s="76">
        <v>5</v>
      </c>
      <c r="Z73" s="75" t="s">
        <v>419</v>
      </c>
      <c r="AA73" s="76">
        <v>870</v>
      </c>
      <c r="AB73" s="75" t="s">
        <v>420</v>
      </c>
      <c r="AC73" s="76">
        <v>235</v>
      </c>
      <c r="AD73" s="76">
        <v>5</v>
      </c>
      <c r="AE73" s="75" t="s">
        <v>383</v>
      </c>
      <c r="AF73" s="76">
        <v>1</v>
      </c>
      <c r="AG73" s="75" t="s">
        <v>418</v>
      </c>
      <c r="AH73" s="76">
        <v>2</v>
      </c>
      <c r="AJ73" s="77" t="s">
        <v>814</v>
      </c>
      <c r="AK73" s="87"/>
      <c r="AL73" s="78" t="s">
        <v>367</v>
      </c>
      <c r="AM73" s="79">
        <v>1</v>
      </c>
      <c r="AN73" s="78"/>
      <c r="AO73" s="78"/>
      <c r="AP73" s="79"/>
      <c r="AQ73" s="80" t="s">
        <v>857</v>
      </c>
      <c r="AR73" s="80" t="s">
        <v>394</v>
      </c>
      <c r="AS73" s="81" t="s">
        <v>433</v>
      </c>
      <c r="AT73" s="80" t="s">
        <v>534</v>
      </c>
      <c r="AU73" s="80" t="s">
        <v>395</v>
      </c>
      <c r="AV73" s="82">
        <v>0</v>
      </c>
      <c r="AW73" s="80" t="s">
        <v>379</v>
      </c>
      <c r="AX73" s="80" t="s">
        <v>432</v>
      </c>
      <c r="AY73" s="83" t="s">
        <v>387</v>
      </c>
    </row>
    <row r="74" spans="1:51" x14ac:dyDescent="0.25">
      <c r="A74" s="75" t="s">
        <v>380</v>
      </c>
      <c r="B74" s="76">
        <v>100</v>
      </c>
      <c r="C74" s="76">
        <v>788</v>
      </c>
      <c r="D74" s="76">
        <v>0</v>
      </c>
      <c r="E74" s="85">
        <v>45965</v>
      </c>
      <c r="F74" s="76">
        <v>1126</v>
      </c>
      <c r="G74" s="75" t="s">
        <v>464</v>
      </c>
      <c r="H74" s="75" t="s">
        <v>585</v>
      </c>
      <c r="I74" s="75" t="s">
        <v>586</v>
      </c>
      <c r="J74" s="75" t="s">
        <v>587</v>
      </c>
      <c r="K74" s="68">
        <v>1440</v>
      </c>
      <c r="L74" s="86"/>
      <c r="M74" s="68">
        <v>1440</v>
      </c>
      <c r="N74" s="85"/>
      <c r="O74" s="85">
        <v>46002</v>
      </c>
      <c r="P74" s="75" t="s">
        <v>414</v>
      </c>
      <c r="Q74" s="76">
        <v>4</v>
      </c>
      <c r="R74" s="76">
        <v>8</v>
      </c>
      <c r="S74" s="75" t="s">
        <v>46</v>
      </c>
      <c r="T74" s="75" t="s">
        <v>381</v>
      </c>
      <c r="U74" s="75" t="s">
        <v>415</v>
      </c>
      <c r="V74" s="75" t="s">
        <v>416</v>
      </c>
      <c r="W74" s="75" t="s">
        <v>464</v>
      </c>
      <c r="X74" s="75" t="s">
        <v>465</v>
      </c>
      <c r="Y74" s="76">
        <v>6</v>
      </c>
      <c r="Z74" s="75" t="s">
        <v>36</v>
      </c>
      <c r="AA74" s="76">
        <v>347</v>
      </c>
      <c r="AB74" s="75" t="s">
        <v>588</v>
      </c>
      <c r="AC74" s="76">
        <v>295</v>
      </c>
      <c r="AD74" s="76">
        <v>6</v>
      </c>
      <c r="AE74" s="75" t="s">
        <v>382</v>
      </c>
      <c r="AF74" s="76">
        <v>7</v>
      </c>
      <c r="AG74" s="75" t="s">
        <v>482</v>
      </c>
      <c r="AH74" s="76">
        <v>70</v>
      </c>
      <c r="AJ74" s="77" t="s">
        <v>616</v>
      </c>
      <c r="AK74" s="87"/>
      <c r="AL74" s="78" t="s">
        <v>368</v>
      </c>
      <c r="AM74" s="79">
        <v>0</v>
      </c>
      <c r="AN74" s="78"/>
      <c r="AO74" s="78"/>
      <c r="AP74" s="79"/>
      <c r="AQ74" s="80" t="s">
        <v>619</v>
      </c>
      <c r="AR74" s="80" t="s">
        <v>394</v>
      </c>
      <c r="AS74" s="81" t="s">
        <v>398</v>
      </c>
      <c r="AT74" s="80" t="s">
        <v>437</v>
      </c>
      <c r="AU74" s="80" t="s">
        <v>395</v>
      </c>
      <c r="AV74" s="82">
        <v>0</v>
      </c>
      <c r="AW74" s="80" t="s">
        <v>379</v>
      </c>
      <c r="AX74" s="80" t="s">
        <v>397</v>
      </c>
      <c r="AY74" s="83" t="s">
        <v>387</v>
      </c>
    </row>
    <row r="75" spans="1:51" x14ac:dyDescent="0.25">
      <c r="A75" s="75" t="s">
        <v>380</v>
      </c>
      <c r="B75" s="76">
        <v>101</v>
      </c>
      <c r="C75" s="76">
        <v>788</v>
      </c>
      <c r="D75" s="76">
        <v>0</v>
      </c>
      <c r="E75" s="85">
        <v>45965</v>
      </c>
      <c r="F75" s="76">
        <v>1126</v>
      </c>
      <c r="G75" s="75" t="s">
        <v>464</v>
      </c>
      <c r="H75" s="75" t="s">
        <v>589</v>
      </c>
      <c r="I75" s="75" t="s">
        <v>590</v>
      </c>
      <c r="J75" s="75" t="s">
        <v>591</v>
      </c>
      <c r="K75" s="68">
        <v>0.5</v>
      </c>
      <c r="L75" s="86"/>
      <c r="M75" s="68">
        <v>0.5</v>
      </c>
      <c r="N75" s="85"/>
      <c r="O75" s="85">
        <v>46002</v>
      </c>
      <c r="P75" s="75" t="s">
        <v>414</v>
      </c>
      <c r="Q75" s="76">
        <v>4</v>
      </c>
      <c r="R75" s="76">
        <v>8</v>
      </c>
      <c r="S75" s="75" t="s">
        <v>466</v>
      </c>
      <c r="T75" s="75" t="s">
        <v>381</v>
      </c>
      <c r="U75" s="75" t="s">
        <v>415</v>
      </c>
      <c r="V75" s="75" t="s">
        <v>416</v>
      </c>
      <c r="W75" s="75" t="s">
        <v>464</v>
      </c>
      <c r="X75" s="75" t="s">
        <v>465</v>
      </c>
      <c r="Y75" s="76">
        <v>6</v>
      </c>
      <c r="Z75" s="75" t="s">
        <v>36</v>
      </c>
      <c r="AA75" s="76">
        <v>347</v>
      </c>
      <c r="AB75" s="75" t="s">
        <v>588</v>
      </c>
      <c r="AC75" s="76">
        <v>295</v>
      </c>
      <c r="AD75" s="76">
        <v>6</v>
      </c>
      <c r="AE75" s="75" t="s">
        <v>382</v>
      </c>
      <c r="AF75" s="76">
        <v>7</v>
      </c>
      <c r="AG75" s="75" t="s">
        <v>482</v>
      </c>
      <c r="AH75" s="76">
        <v>70</v>
      </c>
      <c r="AJ75" s="77" t="s">
        <v>616</v>
      </c>
      <c r="AK75" s="87"/>
      <c r="AL75" s="78" t="s">
        <v>368</v>
      </c>
      <c r="AM75" s="79">
        <v>0</v>
      </c>
      <c r="AN75" s="78"/>
      <c r="AO75" s="78"/>
      <c r="AP75" s="79"/>
      <c r="AQ75" s="80" t="s">
        <v>619</v>
      </c>
      <c r="AR75" s="80" t="s">
        <v>394</v>
      </c>
      <c r="AS75" s="81" t="s">
        <v>398</v>
      </c>
      <c r="AT75" s="80" t="s">
        <v>410</v>
      </c>
      <c r="AU75" s="80" t="s">
        <v>395</v>
      </c>
      <c r="AV75" s="82">
        <v>0</v>
      </c>
      <c r="AW75" s="80" t="s">
        <v>379</v>
      </c>
      <c r="AX75" s="80" t="s">
        <v>397</v>
      </c>
      <c r="AY75" s="83" t="s">
        <v>387</v>
      </c>
    </row>
    <row r="76" spans="1:51" x14ac:dyDescent="0.25">
      <c r="A76" s="75" t="s">
        <v>380</v>
      </c>
      <c r="B76" s="76">
        <v>102</v>
      </c>
      <c r="C76" s="76">
        <v>570</v>
      </c>
      <c r="D76" s="76">
        <v>800</v>
      </c>
      <c r="E76" s="85">
        <v>45978</v>
      </c>
      <c r="F76" s="76">
        <v>1126</v>
      </c>
      <c r="G76" s="75" t="s">
        <v>464</v>
      </c>
      <c r="H76" s="75" t="s">
        <v>815</v>
      </c>
      <c r="I76" s="75" t="s">
        <v>816</v>
      </c>
      <c r="J76" s="75" t="s">
        <v>817</v>
      </c>
      <c r="K76" s="68">
        <v>10000</v>
      </c>
      <c r="L76" s="86"/>
      <c r="M76" s="68">
        <v>10000</v>
      </c>
      <c r="N76" s="85"/>
      <c r="O76" s="85">
        <v>46003</v>
      </c>
      <c r="P76" s="75" t="s">
        <v>30</v>
      </c>
      <c r="Q76" s="76">
        <v>4</v>
      </c>
      <c r="R76" s="76">
        <v>8</v>
      </c>
      <c r="S76" s="75" t="s">
        <v>57</v>
      </c>
      <c r="T76" s="75" t="s">
        <v>381</v>
      </c>
      <c r="U76" s="75" t="s">
        <v>415</v>
      </c>
      <c r="V76" s="75" t="s">
        <v>416</v>
      </c>
      <c r="W76" s="75" t="s">
        <v>464</v>
      </c>
      <c r="X76" s="75" t="s">
        <v>465</v>
      </c>
      <c r="Y76" s="76">
        <v>6</v>
      </c>
      <c r="Z76" s="75" t="s">
        <v>36</v>
      </c>
      <c r="AA76" s="76">
        <v>348</v>
      </c>
      <c r="AB76" s="75" t="s">
        <v>818</v>
      </c>
      <c r="AC76" s="76">
        <v>295</v>
      </c>
      <c r="AD76" s="76">
        <v>6</v>
      </c>
      <c r="AE76" s="75" t="s">
        <v>382</v>
      </c>
      <c r="AF76" s="76">
        <v>1</v>
      </c>
      <c r="AG76" s="75" t="s">
        <v>418</v>
      </c>
      <c r="AH76" s="76">
        <v>1</v>
      </c>
      <c r="AJ76" s="77" t="s">
        <v>819</v>
      </c>
      <c r="AK76" s="87">
        <v>45974</v>
      </c>
      <c r="AL76" s="78" t="s">
        <v>368</v>
      </c>
      <c r="AM76" s="79">
        <v>0</v>
      </c>
      <c r="AN76" s="78" t="s">
        <v>347</v>
      </c>
      <c r="AO76" s="78" t="s">
        <v>334</v>
      </c>
      <c r="AP76" s="79">
        <v>13</v>
      </c>
      <c r="AQ76" s="80" t="s">
        <v>858</v>
      </c>
      <c r="AR76" s="80" t="s">
        <v>396</v>
      </c>
      <c r="AS76" s="81" t="s">
        <v>398</v>
      </c>
      <c r="AT76" s="80" t="s">
        <v>431</v>
      </c>
      <c r="AU76" s="80" t="s">
        <v>395</v>
      </c>
      <c r="AV76" s="82">
        <v>0</v>
      </c>
      <c r="AW76" s="80" t="s">
        <v>379</v>
      </c>
      <c r="AX76" s="80" t="s">
        <v>397</v>
      </c>
      <c r="AY76" s="83" t="s">
        <v>387</v>
      </c>
    </row>
    <row r="77" spans="1:51" x14ac:dyDescent="0.25">
      <c r="A77" s="75" t="s">
        <v>380</v>
      </c>
      <c r="B77" s="76">
        <v>103</v>
      </c>
      <c r="C77" s="76">
        <v>570</v>
      </c>
      <c r="D77" s="76">
        <v>800</v>
      </c>
      <c r="E77" s="85">
        <v>45978</v>
      </c>
      <c r="F77" s="76">
        <v>1126</v>
      </c>
      <c r="G77" s="75" t="s">
        <v>464</v>
      </c>
      <c r="H77" s="75" t="s">
        <v>820</v>
      </c>
      <c r="I77" s="75" t="s">
        <v>821</v>
      </c>
      <c r="J77" s="75" t="s">
        <v>822</v>
      </c>
      <c r="K77" s="68">
        <v>0.5</v>
      </c>
      <c r="L77" s="86"/>
      <c r="M77" s="68">
        <v>0.5</v>
      </c>
      <c r="N77" s="85"/>
      <c r="O77" s="85">
        <v>46003</v>
      </c>
      <c r="P77" s="75" t="s">
        <v>30</v>
      </c>
      <c r="Q77" s="76">
        <v>4</v>
      </c>
      <c r="R77" s="76">
        <v>8</v>
      </c>
      <c r="S77" s="75" t="s">
        <v>466</v>
      </c>
      <c r="T77" s="75" t="s">
        <v>381</v>
      </c>
      <c r="U77" s="75" t="s">
        <v>415</v>
      </c>
      <c r="V77" s="75" t="s">
        <v>416</v>
      </c>
      <c r="W77" s="75" t="s">
        <v>464</v>
      </c>
      <c r="X77" s="75" t="s">
        <v>465</v>
      </c>
      <c r="Y77" s="76">
        <v>6</v>
      </c>
      <c r="Z77" s="75" t="s">
        <v>36</v>
      </c>
      <c r="AA77" s="76">
        <v>348</v>
      </c>
      <c r="AB77" s="75" t="s">
        <v>818</v>
      </c>
      <c r="AC77" s="76">
        <v>295</v>
      </c>
      <c r="AD77" s="76">
        <v>6</v>
      </c>
      <c r="AE77" s="75" t="s">
        <v>382</v>
      </c>
      <c r="AF77" s="76">
        <v>1</v>
      </c>
      <c r="AG77" s="75" t="s">
        <v>418</v>
      </c>
      <c r="AH77" s="76">
        <v>1</v>
      </c>
      <c r="AJ77" s="77" t="s">
        <v>819</v>
      </c>
      <c r="AK77" s="87">
        <v>45974</v>
      </c>
      <c r="AL77" s="78" t="s">
        <v>368</v>
      </c>
      <c r="AM77" s="79">
        <v>0</v>
      </c>
      <c r="AN77" s="78" t="s">
        <v>347</v>
      </c>
      <c r="AO77" s="78" t="s">
        <v>334</v>
      </c>
      <c r="AP77" s="79">
        <v>13</v>
      </c>
      <c r="AQ77" s="80" t="s">
        <v>858</v>
      </c>
      <c r="AR77" s="80" t="s">
        <v>396</v>
      </c>
      <c r="AS77" s="81" t="s">
        <v>398</v>
      </c>
      <c r="AT77" s="80" t="s">
        <v>410</v>
      </c>
      <c r="AU77" s="80" t="s">
        <v>395</v>
      </c>
      <c r="AV77" s="82">
        <v>0</v>
      </c>
      <c r="AW77" s="80" t="s">
        <v>379</v>
      </c>
      <c r="AX77" s="80" t="s">
        <v>397</v>
      </c>
      <c r="AY77" s="83" t="s">
        <v>387</v>
      </c>
    </row>
    <row r="78" spans="1:51" x14ac:dyDescent="0.25">
      <c r="A78" s="75" t="s">
        <v>380</v>
      </c>
      <c r="B78" s="76">
        <v>104</v>
      </c>
      <c r="C78" s="76">
        <v>793</v>
      </c>
      <c r="D78" s="76">
        <v>0</v>
      </c>
      <c r="E78" s="85">
        <v>45967</v>
      </c>
      <c r="F78" s="76">
        <v>1134</v>
      </c>
      <c r="G78" s="75" t="s">
        <v>401</v>
      </c>
      <c r="H78" s="75" t="s">
        <v>402</v>
      </c>
      <c r="I78" s="75" t="s">
        <v>402</v>
      </c>
      <c r="J78" s="75" t="s">
        <v>403</v>
      </c>
      <c r="K78" s="68">
        <v>1200</v>
      </c>
      <c r="L78" s="86"/>
      <c r="M78" s="68">
        <v>1200</v>
      </c>
      <c r="N78" s="85"/>
      <c r="O78" s="85">
        <v>46045</v>
      </c>
      <c r="P78" s="75" t="s">
        <v>637</v>
      </c>
      <c r="Q78" s="76">
        <v>8</v>
      </c>
      <c r="R78" s="76">
        <v>10</v>
      </c>
      <c r="S78" s="75" t="s">
        <v>421</v>
      </c>
      <c r="T78" s="75" t="s">
        <v>381</v>
      </c>
      <c r="U78" s="75" t="s">
        <v>415</v>
      </c>
      <c r="V78" s="75" t="s">
        <v>416</v>
      </c>
      <c r="W78" s="75" t="s">
        <v>430</v>
      </c>
      <c r="X78" s="75" t="s">
        <v>404</v>
      </c>
      <c r="Y78" s="76">
        <v>4</v>
      </c>
      <c r="Z78" s="75" t="s">
        <v>422</v>
      </c>
      <c r="AA78" s="76">
        <v>988</v>
      </c>
      <c r="AB78" s="75" t="s">
        <v>423</v>
      </c>
      <c r="AC78" s="76">
        <v>45</v>
      </c>
      <c r="AD78" s="76">
        <v>4</v>
      </c>
      <c r="AE78" s="75" t="s">
        <v>384</v>
      </c>
      <c r="AF78" s="76">
        <v>1</v>
      </c>
      <c r="AG78" s="75" t="s">
        <v>418</v>
      </c>
      <c r="AH78" s="76">
        <v>23</v>
      </c>
      <c r="AJ78" s="77" t="s">
        <v>638</v>
      </c>
      <c r="AK78" s="87"/>
      <c r="AL78" s="78" t="s">
        <v>367</v>
      </c>
      <c r="AM78" s="79">
        <v>1</v>
      </c>
      <c r="AN78" s="78"/>
      <c r="AO78" s="78"/>
      <c r="AP78" s="79"/>
      <c r="AQ78" s="80" t="s">
        <v>649</v>
      </c>
      <c r="AR78" s="80" t="s">
        <v>394</v>
      </c>
      <c r="AS78" s="81" t="s">
        <v>398</v>
      </c>
      <c r="AT78" s="80" t="s">
        <v>410</v>
      </c>
      <c r="AU78" s="80" t="s">
        <v>395</v>
      </c>
      <c r="AV78" s="82">
        <v>0</v>
      </c>
      <c r="AW78" s="80" t="s">
        <v>379</v>
      </c>
      <c r="AX78" s="80" t="s">
        <v>432</v>
      </c>
      <c r="AY78" s="83" t="s">
        <v>387</v>
      </c>
    </row>
    <row r="79" spans="1:51" x14ac:dyDescent="0.25">
      <c r="A79" s="75" t="s">
        <v>380</v>
      </c>
      <c r="B79" s="76">
        <v>105</v>
      </c>
      <c r="C79" s="76">
        <v>475</v>
      </c>
      <c r="D79" s="76">
        <v>800</v>
      </c>
      <c r="E79" s="85">
        <v>45905</v>
      </c>
      <c r="F79" s="76">
        <v>1134</v>
      </c>
      <c r="G79" s="75" t="s">
        <v>401</v>
      </c>
      <c r="H79" s="75" t="s">
        <v>402</v>
      </c>
      <c r="I79" s="75" t="s">
        <v>402</v>
      </c>
      <c r="J79" s="75" t="s">
        <v>403</v>
      </c>
      <c r="K79" s="68">
        <v>1200</v>
      </c>
      <c r="L79" s="86"/>
      <c r="M79" s="68">
        <v>1200</v>
      </c>
      <c r="N79" s="85">
        <v>46037</v>
      </c>
      <c r="O79" s="85">
        <v>46045</v>
      </c>
      <c r="P79" s="75" t="s">
        <v>61</v>
      </c>
      <c r="Q79" s="76">
        <v>8</v>
      </c>
      <c r="R79" s="76">
        <v>10</v>
      </c>
      <c r="S79" s="75" t="s">
        <v>421</v>
      </c>
      <c r="T79" s="75" t="s">
        <v>381</v>
      </c>
      <c r="U79" s="75" t="s">
        <v>415</v>
      </c>
      <c r="V79" s="75" t="s">
        <v>416</v>
      </c>
      <c r="W79" s="75" t="s">
        <v>430</v>
      </c>
      <c r="X79" s="75" t="s">
        <v>404</v>
      </c>
      <c r="Y79" s="76">
        <v>4</v>
      </c>
      <c r="Z79" s="75" t="s">
        <v>422</v>
      </c>
      <c r="AA79" s="76">
        <v>988</v>
      </c>
      <c r="AB79" s="75" t="s">
        <v>423</v>
      </c>
      <c r="AC79" s="76">
        <v>45</v>
      </c>
      <c r="AD79" s="76">
        <v>4</v>
      </c>
      <c r="AE79" s="75" t="s">
        <v>384</v>
      </c>
      <c r="AF79" s="76">
        <v>1</v>
      </c>
      <c r="AG79" s="75" t="s">
        <v>418</v>
      </c>
      <c r="AH79" s="76">
        <v>6</v>
      </c>
      <c r="AJ79" s="77" t="s">
        <v>438</v>
      </c>
      <c r="AK79" s="87">
        <v>45910</v>
      </c>
      <c r="AL79" s="78" t="s">
        <v>367</v>
      </c>
      <c r="AM79" s="79">
        <v>1</v>
      </c>
      <c r="AN79" s="78"/>
      <c r="AO79" s="78"/>
      <c r="AP79" s="79"/>
      <c r="AQ79" s="80" t="s">
        <v>439</v>
      </c>
      <c r="AR79" s="80" t="s">
        <v>396</v>
      </c>
      <c r="AS79" s="81" t="s">
        <v>398</v>
      </c>
      <c r="AT79" s="80" t="s">
        <v>410</v>
      </c>
      <c r="AU79" s="80" t="s">
        <v>348</v>
      </c>
      <c r="AV79" s="82">
        <v>3</v>
      </c>
      <c r="AW79" s="80" t="s">
        <v>379</v>
      </c>
      <c r="AX79" s="80" t="s">
        <v>432</v>
      </c>
      <c r="AY79" s="83" t="s">
        <v>387</v>
      </c>
    </row>
    <row r="80" spans="1:51" x14ac:dyDescent="0.25">
      <c r="A80" s="75" t="s">
        <v>380</v>
      </c>
      <c r="B80" s="76">
        <v>108</v>
      </c>
      <c r="C80" s="76">
        <v>827</v>
      </c>
      <c r="D80" s="76">
        <v>0</v>
      </c>
      <c r="E80" s="85">
        <v>45979</v>
      </c>
      <c r="F80" s="76">
        <v>1156</v>
      </c>
      <c r="G80" s="75" t="s">
        <v>823</v>
      </c>
      <c r="H80" s="75" t="s">
        <v>824</v>
      </c>
      <c r="I80" s="75" t="s">
        <v>825</v>
      </c>
      <c r="J80" s="75" t="s">
        <v>826</v>
      </c>
      <c r="K80" s="68">
        <v>1500</v>
      </c>
      <c r="L80" s="86"/>
      <c r="M80" s="68">
        <v>1500</v>
      </c>
      <c r="N80" s="85"/>
      <c r="O80" s="85">
        <v>46063</v>
      </c>
      <c r="P80" s="75" t="s">
        <v>45</v>
      </c>
      <c r="Q80" s="76">
        <v>8</v>
      </c>
      <c r="R80" s="76">
        <v>10</v>
      </c>
      <c r="S80" s="75" t="s">
        <v>47</v>
      </c>
      <c r="T80" s="75" t="s">
        <v>381</v>
      </c>
      <c r="U80" s="75" t="s">
        <v>415</v>
      </c>
      <c r="V80" s="75" t="s">
        <v>416</v>
      </c>
      <c r="W80" s="75" t="s">
        <v>827</v>
      </c>
      <c r="X80" s="75" t="s">
        <v>828</v>
      </c>
      <c r="Y80" s="76">
        <v>4</v>
      </c>
      <c r="Z80" s="75" t="s">
        <v>419</v>
      </c>
      <c r="AA80" s="76">
        <v>745</v>
      </c>
      <c r="AB80" s="75" t="s">
        <v>691</v>
      </c>
      <c r="AC80" s="76">
        <v>235</v>
      </c>
      <c r="AD80" s="76">
        <v>4</v>
      </c>
      <c r="AE80" s="75" t="s">
        <v>384</v>
      </c>
      <c r="AF80" s="76">
        <v>1</v>
      </c>
      <c r="AG80" s="75" t="s">
        <v>418</v>
      </c>
      <c r="AH80" s="76">
        <v>10</v>
      </c>
      <c r="AJ80" s="77" t="s">
        <v>829</v>
      </c>
      <c r="AK80" s="87"/>
      <c r="AL80" s="78" t="s">
        <v>367</v>
      </c>
      <c r="AM80" s="79">
        <v>1</v>
      </c>
      <c r="AN80" s="78"/>
      <c r="AO80" s="78"/>
      <c r="AP80" s="79"/>
      <c r="AQ80" s="80" t="s">
        <v>859</v>
      </c>
      <c r="AR80" s="80" t="s">
        <v>394</v>
      </c>
      <c r="AS80" s="81" t="s">
        <v>398</v>
      </c>
      <c r="AT80" s="80" t="s">
        <v>431</v>
      </c>
      <c r="AU80" s="80" t="s">
        <v>395</v>
      </c>
      <c r="AV80" s="82">
        <v>0</v>
      </c>
      <c r="AW80" s="80" t="s">
        <v>379</v>
      </c>
      <c r="AX80" s="80" t="s">
        <v>432</v>
      </c>
      <c r="AY80" s="83" t="s">
        <v>387</v>
      </c>
    </row>
    <row r="81" spans="1:51" x14ac:dyDescent="0.25">
      <c r="A81" s="75" t="s">
        <v>380</v>
      </c>
      <c r="B81" s="76">
        <v>109</v>
      </c>
      <c r="C81" s="76">
        <v>830</v>
      </c>
      <c r="D81" s="76">
        <v>0</v>
      </c>
      <c r="E81" s="85">
        <v>45979</v>
      </c>
      <c r="F81" s="76">
        <v>1156</v>
      </c>
      <c r="G81" s="75" t="s">
        <v>823</v>
      </c>
      <c r="H81" s="75" t="s">
        <v>830</v>
      </c>
      <c r="I81" s="75" t="s">
        <v>830</v>
      </c>
      <c r="J81" s="75" t="s">
        <v>831</v>
      </c>
      <c r="K81" s="68">
        <v>1000</v>
      </c>
      <c r="L81" s="86"/>
      <c r="M81" s="68">
        <v>1000</v>
      </c>
      <c r="N81" s="85"/>
      <c r="O81" s="85">
        <v>46234</v>
      </c>
      <c r="P81" s="75" t="s">
        <v>45</v>
      </c>
      <c r="Q81" s="76">
        <v>8</v>
      </c>
      <c r="R81" s="76">
        <v>10</v>
      </c>
      <c r="S81" s="75" t="s">
        <v>47</v>
      </c>
      <c r="T81" s="75" t="s">
        <v>381</v>
      </c>
      <c r="U81" s="75" t="s">
        <v>415</v>
      </c>
      <c r="V81" s="75" t="s">
        <v>416</v>
      </c>
      <c r="W81" s="75" t="s">
        <v>827</v>
      </c>
      <c r="X81" s="75" t="s">
        <v>828</v>
      </c>
      <c r="Y81" s="76">
        <v>5</v>
      </c>
      <c r="Z81" s="75" t="s">
        <v>419</v>
      </c>
      <c r="AA81" s="76">
        <v>550</v>
      </c>
      <c r="AB81" s="75" t="s">
        <v>462</v>
      </c>
      <c r="AC81" s="76">
        <v>235</v>
      </c>
      <c r="AD81" s="76">
        <v>5</v>
      </c>
      <c r="AE81" s="75" t="s">
        <v>383</v>
      </c>
      <c r="AF81" s="76">
        <v>1</v>
      </c>
      <c r="AG81" s="75" t="s">
        <v>418</v>
      </c>
      <c r="AH81" s="76">
        <v>10</v>
      </c>
      <c r="AJ81" s="77" t="s">
        <v>832</v>
      </c>
      <c r="AK81" s="87"/>
      <c r="AL81" s="78" t="s">
        <v>367</v>
      </c>
      <c r="AM81" s="79">
        <v>1</v>
      </c>
      <c r="AN81" s="78"/>
      <c r="AO81" s="78"/>
      <c r="AP81" s="79"/>
      <c r="AQ81" s="80" t="s">
        <v>860</v>
      </c>
      <c r="AR81" s="80" t="s">
        <v>394</v>
      </c>
      <c r="AS81" s="81" t="s">
        <v>433</v>
      </c>
      <c r="AT81" s="80" t="s">
        <v>431</v>
      </c>
      <c r="AU81" s="80" t="s">
        <v>395</v>
      </c>
      <c r="AV81" s="82">
        <v>0</v>
      </c>
      <c r="AW81" s="80" t="s">
        <v>379</v>
      </c>
      <c r="AX81" s="80" t="s">
        <v>432</v>
      </c>
      <c r="AY81" s="83" t="s">
        <v>387</v>
      </c>
    </row>
    <row r="82" spans="1:51" x14ac:dyDescent="0.25">
      <c r="A82" s="75" t="s">
        <v>380</v>
      </c>
      <c r="B82" s="76">
        <v>117</v>
      </c>
      <c r="C82" s="76">
        <v>571</v>
      </c>
      <c r="D82" s="76">
        <v>800</v>
      </c>
      <c r="E82" s="85">
        <v>45978</v>
      </c>
      <c r="F82" s="76">
        <v>1210</v>
      </c>
      <c r="G82" s="75" t="s">
        <v>833</v>
      </c>
      <c r="H82" s="75" t="s">
        <v>835</v>
      </c>
      <c r="I82" s="75" t="s">
        <v>836</v>
      </c>
      <c r="J82" s="75" t="s">
        <v>837</v>
      </c>
      <c r="K82" s="68">
        <v>275</v>
      </c>
      <c r="L82" s="86"/>
      <c r="M82" s="68">
        <v>275</v>
      </c>
      <c r="N82" s="85"/>
      <c r="O82" s="85">
        <v>46010</v>
      </c>
      <c r="P82" s="75" t="s">
        <v>30</v>
      </c>
      <c r="Q82" s="76">
        <v>8</v>
      </c>
      <c r="R82" s="76">
        <v>10</v>
      </c>
      <c r="S82" s="75" t="s">
        <v>64</v>
      </c>
      <c r="T82" s="75" t="s">
        <v>381</v>
      </c>
      <c r="U82" s="75" t="s">
        <v>415</v>
      </c>
      <c r="V82" s="75" t="s">
        <v>416</v>
      </c>
      <c r="W82" s="75" t="s">
        <v>834</v>
      </c>
      <c r="X82" s="75" t="s">
        <v>838</v>
      </c>
      <c r="Y82" s="76">
        <v>5</v>
      </c>
      <c r="Z82" s="75" t="s">
        <v>419</v>
      </c>
      <c r="AA82" s="76">
        <v>870</v>
      </c>
      <c r="AB82" s="75" t="s">
        <v>420</v>
      </c>
      <c r="AC82" s="76">
        <v>235</v>
      </c>
      <c r="AD82" s="76">
        <v>5</v>
      </c>
      <c r="AE82" s="75" t="s">
        <v>383</v>
      </c>
      <c r="AF82" s="76">
        <v>1</v>
      </c>
      <c r="AG82" s="75" t="s">
        <v>418</v>
      </c>
      <c r="AH82" s="76">
        <v>1</v>
      </c>
      <c r="AJ82" s="77" t="s">
        <v>839</v>
      </c>
      <c r="AK82" s="87">
        <v>45596</v>
      </c>
      <c r="AL82" s="78" t="s">
        <v>366</v>
      </c>
      <c r="AM82" s="79">
        <v>1</v>
      </c>
      <c r="AN82" s="78" t="s">
        <v>347</v>
      </c>
      <c r="AO82" s="78" t="s">
        <v>334</v>
      </c>
      <c r="AP82" s="79">
        <v>5</v>
      </c>
      <c r="AQ82" s="80" t="s">
        <v>861</v>
      </c>
      <c r="AR82" s="80" t="s">
        <v>396</v>
      </c>
      <c r="AS82" s="81" t="s">
        <v>433</v>
      </c>
      <c r="AT82" s="80" t="s">
        <v>862</v>
      </c>
      <c r="AU82" s="80" t="s">
        <v>395</v>
      </c>
      <c r="AV82" s="82">
        <v>0</v>
      </c>
      <c r="AW82" s="80" t="s">
        <v>379</v>
      </c>
      <c r="AX82" s="80" t="s">
        <v>432</v>
      </c>
      <c r="AY82" s="83" t="s">
        <v>387</v>
      </c>
    </row>
    <row r="83" spans="1:51" x14ac:dyDescent="0.25">
      <c r="A83" s="75" t="s">
        <v>380</v>
      </c>
      <c r="B83" s="76">
        <v>118</v>
      </c>
      <c r="C83" s="76">
        <v>804</v>
      </c>
      <c r="D83" s="76">
        <v>0</v>
      </c>
      <c r="E83" s="85">
        <v>45975</v>
      </c>
      <c r="F83" s="76">
        <v>1224</v>
      </c>
      <c r="G83" s="75" t="s">
        <v>573</v>
      </c>
      <c r="H83" s="75" t="s">
        <v>738</v>
      </c>
      <c r="I83" s="75" t="s">
        <v>739</v>
      </c>
      <c r="J83" s="75" t="s">
        <v>740</v>
      </c>
      <c r="K83" s="68">
        <v>3000</v>
      </c>
      <c r="L83" s="86"/>
      <c r="M83" s="68">
        <v>3000</v>
      </c>
      <c r="N83" s="85"/>
      <c r="O83" s="85">
        <v>46006</v>
      </c>
      <c r="P83" s="75" t="s">
        <v>30</v>
      </c>
      <c r="Q83" s="76">
        <v>8</v>
      </c>
      <c r="R83" s="76">
        <v>10</v>
      </c>
      <c r="S83" s="75" t="s">
        <v>47</v>
      </c>
      <c r="T83" s="75" t="s">
        <v>381</v>
      </c>
      <c r="U83" s="75" t="s">
        <v>415</v>
      </c>
      <c r="V83" s="75" t="s">
        <v>416</v>
      </c>
      <c r="W83" s="75" t="s">
        <v>574</v>
      </c>
      <c r="X83" s="75" t="s">
        <v>575</v>
      </c>
      <c r="Y83" s="76">
        <v>4</v>
      </c>
      <c r="Z83" s="75" t="s">
        <v>419</v>
      </c>
      <c r="AA83" s="76">
        <v>115</v>
      </c>
      <c r="AB83" s="75" t="s">
        <v>741</v>
      </c>
      <c r="AC83" s="76">
        <v>235</v>
      </c>
      <c r="AD83" s="76">
        <v>4</v>
      </c>
      <c r="AE83" s="75" t="s">
        <v>384</v>
      </c>
      <c r="AF83" s="76">
        <v>1</v>
      </c>
      <c r="AG83" s="75" t="s">
        <v>418</v>
      </c>
      <c r="AH83" s="76">
        <v>1</v>
      </c>
      <c r="AJ83" s="77" t="s">
        <v>742</v>
      </c>
      <c r="AK83" s="87"/>
      <c r="AL83" s="78" t="s">
        <v>366</v>
      </c>
      <c r="AM83" s="79">
        <v>1</v>
      </c>
      <c r="AN83" s="78" t="s">
        <v>347</v>
      </c>
      <c r="AO83" s="78" t="s">
        <v>334</v>
      </c>
      <c r="AP83" s="79">
        <v>5</v>
      </c>
      <c r="AQ83" s="80" t="s">
        <v>775</v>
      </c>
      <c r="AR83" s="80" t="s">
        <v>394</v>
      </c>
      <c r="AS83" s="81" t="s">
        <v>398</v>
      </c>
      <c r="AT83" s="80" t="s">
        <v>431</v>
      </c>
      <c r="AU83" s="80" t="s">
        <v>395</v>
      </c>
      <c r="AV83" s="82">
        <v>0</v>
      </c>
      <c r="AW83" s="80" t="s">
        <v>379</v>
      </c>
      <c r="AX83" s="80" t="s">
        <v>432</v>
      </c>
      <c r="AY83" s="83" t="s">
        <v>387</v>
      </c>
    </row>
    <row r="84" spans="1:51" x14ac:dyDescent="0.25">
      <c r="A84" s="75" t="s">
        <v>380</v>
      </c>
      <c r="B84" s="76">
        <v>119</v>
      </c>
      <c r="C84" s="76">
        <v>805</v>
      </c>
      <c r="D84" s="76">
        <v>0</v>
      </c>
      <c r="E84" s="85">
        <v>45975</v>
      </c>
      <c r="F84" s="76">
        <v>1224</v>
      </c>
      <c r="G84" s="75" t="s">
        <v>573</v>
      </c>
      <c r="H84" s="75" t="s">
        <v>743</v>
      </c>
      <c r="I84" s="75" t="s">
        <v>744</v>
      </c>
      <c r="J84" s="75" t="s">
        <v>745</v>
      </c>
      <c r="K84" s="68">
        <v>1000</v>
      </c>
      <c r="L84" s="86"/>
      <c r="M84" s="68">
        <v>1000</v>
      </c>
      <c r="N84" s="85"/>
      <c r="O84" s="85">
        <v>46009</v>
      </c>
      <c r="P84" s="75" t="s">
        <v>30</v>
      </c>
      <c r="Q84" s="76">
        <v>8</v>
      </c>
      <c r="R84" s="76">
        <v>10</v>
      </c>
      <c r="S84" s="75" t="s">
        <v>47</v>
      </c>
      <c r="T84" s="75" t="s">
        <v>381</v>
      </c>
      <c r="U84" s="75" t="s">
        <v>415</v>
      </c>
      <c r="V84" s="75" t="s">
        <v>416</v>
      </c>
      <c r="W84" s="75" t="s">
        <v>574</v>
      </c>
      <c r="X84" s="75" t="s">
        <v>575</v>
      </c>
      <c r="Y84" s="76">
        <v>5</v>
      </c>
      <c r="Z84" s="75" t="s">
        <v>419</v>
      </c>
      <c r="AA84" s="76">
        <v>213</v>
      </c>
      <c r="AB84" s="75" t="s">
        <v>33</v>
      </c>
      <c r="AC84" s="76">
        <v>235</v>
      </c>
      <c r="AD84" s="76">
        <v>5</v>
      </c>
      <c r="AE84" s="75" t="s">
        <v>383</v>
      </c>
      <c r="AF84" s="76">
        <v>1</v>
      </c>
      <c r="AG84" s="75" t="s">
        <v>418</v>
      </c>
      <c r="AH84" s="76">
        <v>1</v>
      </c>
      <c r="AJ84" s="77" t="s">
        <v>746</v>
      </c>
      <c r="AK84" s="87"/>
      <c r="AL84" s="78" t="s">
        <v>366</v>
      </c>
      <c r="AM84" s="79">
        <v>1</v>
      </c>
      <c r="AN84" s="78" t="s">
        <v>347</v>
      </c>
      <c r="AO84" s="78" t="s">
        <v>334</v>
      </c>
      <c r="AP84" s="79">
        <v>5</v>
      </c>
      <c r="AQ84" s="80" t="s">
        <v>776</v>
      </c>
      <c r="AR84" s="80" t="s">
        <v>394</v>
      </c>
      <c r="AS84" s="81" t="s">
        <v>433</v>
      </c>
      <c r="AT84" s="80" t="s">
        <v>431</v>
      </c>
      <c r="AU84" s="80" t="s">
        <v>395</v>
      </c>
      <c r="AV84" s="82">
        <v>0</v>
      </c>
      <c r="AW84" s="80" t="s">
        <v>379</v>
      </c>
      <c r="AX84" s="80" t="s">
        <v>432</v>
      </c>
      <c r="AY84" s="83" t="s">
        <v>387</v>
      </c>
    </row>
    <row r="85" spans="1:51" x14ac:dyDescent="0.25">
      <c r="A85" s="75" t="s">
        <v>380</v>
      </c>
      <c r="B85" s="76">
        <v>120</v>
      </c>
      <c r="C85" s="76">
        <v>812</v>
      </c>
      <c r="D85" s="76">
        <v>0</v>
      </c>
      <c r="E85" s="85">
        <v>45975</v>
      </c>
      <c r="F85" s="76">
        <v>1224</v>
      </c>
      <c r="G85" s="75" t="s">
        <v>573</v>
      </c>
      <c r="H85" s="75" t="s">
        <v>747</v>
      </c>
      <c r="I85" s="75" t="s">
        <v>748</v>
      </c>
      <c r="J85" s="75" t="s">
        <v>749</v>
      </c>
      <c r="K85" s="68">
        <v>480</v>
      </c>
      <c r="L85" s="86"/>
      <c r="M85" s="68">
        <v>480</v>
      </c>
      <c r="N85" s="85"/>
      <c r="O85" s="85">
        <v>46048</v>
      </c>
      <c r="P85" s="75" t="s">
        <v>31</v>
      </c>
      <c r="Q85" s="76">
        <v>8</v>
      </c>
      <c r="R85" s="76">
        <v>10</v>
      </c>
      <c r="S85" s="75" t="s">
        <v>63</v>
      </c>
      <c r="T85" s="75" t="s">
        <v>381</v>
      </c>
      <c r="U85" s="75" t="s">
        <v>415</v>
      </c>
      <c r="V85" s="75" t="s">
        <v>416</v>
      </c>
      <c r="W85" s="75" t="s">
        <v>574</v>
      </c>
      <c r="X85" s="75" t="s">
        <v>575</v>
      </c>
      <c r="Y85" s="76">
        <v>5</v>
      </c>
      <c r="Z85" s="75" t="s">
        <v>419</v>
      </c>
      <c r="AA85" s="76">
        <v>213</v>
      </c>
      <c r="AB85" s="75" t="s">
        <v>33</v>
      </c>
      <c r="AC85" s="76">
        <v>235</v>
      </c>
      <c r="AD85" s="76">
        <v>5</v>
      </c>
      <c r="AE85" s="75" t="s">
        <v>383</v>
      </c>
      <c r="AF85" s="76">
        <v>1</v>
      </c>
      <c r="AG85" s="75" t="s">
        <v>418</v>
      </c>
      <c r="AH85" s="76">
        <v>2</v>
      </c>
      <c r="AJ85" s="77" t="s">
        <v>750</v>
      </c>
      <c r="AK85" s="87"/>
      <c r="AL85" s="78" t="s">
        <v>366</v>
      </c>
      <c r="AM85" s="79">
        <v>1</v>
      </c>
      <c r="AN85" s="78"/>
      <c r="AO85" s="78"/>
      <c r="AP85" s="79"/>
      <c r="AQ85" s="80" t="s">
        <v>777</v>
      </c>
      <c r="AR85" s="80" t="s">
        <v>394</v>
      </c>
      <c r="AS85" s="81" t="s">
        <v>433</v>
      </c>
      <c r="AT85" s="80" t="s">
        <v>431</v>
      </c>
      <c r="AU85" s="80" t="s">
        <v>395</v>
      </c>
      <c r="AV85" s="82">
        <v>0</v>
      </c>
      <c r="AW85" s="80" t="s">
        <v>379</v>
      </c>
      <c r="AX85" s="80" t="s">
        <v>432</v>
      </c>
      <c r="AY85" s="83" t="s">
        <v>387</v>
      </c>
    </row>
    <row r="86" spans="1:51" x14ac:dyDescent="0.25">
      <c r="A86" s="75" t="s">
        <v>380</v>
      </c>
      <c r="B86" s="76">
        <v>121</v>
      </c>
      <c r="C86" s="76">
        <v>824</v>
      </c>
      <c r="D86" s="76">
        <v>0</v>
      </c>
      <c r="E86" s="85">
        <v>45979</v>
      </c>
      <c r="F86" s="76">
        <v>1224</v>
      </c>
      <c r="G86" s="75" t="s">
        <v>573</v>
      </c>
      <c r="H86" s="75" t="s">
        <v>738</v>
      </c>
      <c r="I86" s="75" t="s">
        <v>739</v>
      </c>
      <c r="J86" s="75" t="s">
        <v>740</v>
      </c>
      <c r="K86" s="68">
        <v>3500</v>
      </c>
      <c r="L86" s="86"/>
      <c r="M86" s="68">
        <v>3500</v>
      </c>
      <c r="N86" s="85"/>
      <c r="O86" s="85">
        <v>46050</v>
      </c>
      <c r="P86" s="75" t="s">
        <v>30</v>
      </c>
      <c r="Q86" s="76">
        <v>8</v>
      </c>
      <c r="R86" s="76">
        <v>10</v>
      </c>
      <c r="S86" s="75" t="s">
        <v>47</v>
      </c>
      <c r="T86" s="75" t="s">
        <v>381</v>
      </c>
      <c r="U86" s="75" t="s">
        <v>415</v>
      </c>
      <c r="V86" s="75" t="s">
        <v>416</v>
      </c>
      <c r="W86" s="75" t="s">
        <v>574</v>
      </c>
      <c r="X86" s="75" t="s">
        <v>575</v>
      </c>
      <c r="Y86" s="76">
        <v>4</v>
      </c>
      <c r="Z86" s="75" t="s">
        <v>419</v>
      </c>
      <c r="AA86" s="76">
        <v>115</v>
      </c>
      <c r="AB86" s="75" t="s">
        <v>741</v>
      </c>
      <c r="AC86" s="76">
        <v>235</v>
      </c>
      <c r="AD86" s="76">
        <v>4</v>
      </c>
      <c r="AE86" s="75" t="s">
        <v>384</v>
      </c>
      <c r="AF86" s="76">
        <v>1</v>
      </c>
      <c r="AG86" s="75" t="s">
        <v>418</v>
      </c>
      <c r="AH86" s="76">
        <v>1</v>
      </c>
      <c r="AJ86" s="77" t="s">
        <v>840</v>
      </c>
      <c r="AK86" s="87"/>
      <c r="AL86" s="78" t="s">
        <v>366</v>
      </c>
      <c r="AM86" s="79">
        <v>1</v>
      </c>
      <c r="AN86" s="78" t="s">
        <v>347</v>
      </c>
      <c r="AO86" s="78" t="s">
        <v>334</v>
      </c>
      <c r="AP86" s="79">
        <v>5</v>
      </c>
      <c r="AQ86" s="80" t="s">
        <v>863</v>
      </c>
      <c r="AR86" s="80" t="s">
        <v>394</v>
      </c>
      <c r="AS86" s="81" t="s">
        <v>398</v>
      </c>
      <c r="AT86" s="80" t="s">
        <v>431</v>
      </c>
      <c r="AU86" s="80" t="s">
        <v>395</v>
      </c>
      <c r="AV86" s="82">
        <v>0</v>
      </c>
      <c r="AW86" s="80" t="s">
        <v>379</v>
      </c>
      <c r="AX86" s="80" t="s">
        <v>432</v>
      </c>
      <c r="AY86" s="83" t="s">
        <v>387</v>
      </c>
    </row>
    <row r="87" spans="1:51" x14ac:dyDescent="0.25">
      <c r="A87" s="75" t="s">
        <v>380</v>
      </c>
      <c r="B87" s="76">
        <v>127</v>
      </c>
      <c r="C87" s="76">
        <v>808</v>
      </c>
      <c r="D87" s="76">
        <v>0</v>
      </c>
      <c r="E87" s="85">
        <v>45975</v>
      </c>
      <c r="F87" s="76">
        <v>1232</v>
      </c>
      <c r="G87" s="75" t="s">
        <v>751</v>
      </c>
      <c r="H87" s="75" t="s">
        <v>752</v>
      </c>
      <c r="I87" s="75" t="s">
        <v>753</v>
      </c>
      <c r="J87" s="75" t="s">
        <v>754</v>
      </c>
      <c r="K87" s="68">
        <v>640</v>
      </c>
      <c r="L87" s="86"/>
      <c r="M87" s="68">
        <v>640</v>
      </c>
      <c r="N87" s="85"/>
      <c r="O87" s="85">
        <v>46030</v>
      </c>
      <c r="P87" s="75" t="s">
        <v>31</v>
      </c>
      <c r="Q87" s="76">
        <v>8</v>
      </c>
      <c r="R87" s="76">
        <v>10</v>
      </c>
      <c r="S87" s="75" t="s">
        <v>37</v>
      </c>
      <c r="T87" s="75" t="s">
        <v>381</v>
      </c>
      <c r="U87" s="75" t="s">
        <v>415</v>
      </c>
      <c r="V87" s="75" t="s">
        <v>416</v>
      </c>
      <c r="W87" s="75" t="s">
        <v>755</v>
      </c>
      <c r="X87" s="75" t="s">
        <v>756</v>
      </c>
      <c r="Y87" s="76">
        <v>5</v>
      </c>
      <c r="Z87" s="75" t="s">
        <v>669</v>
      </c>
      <c r="AA87" s="76">
        <v>216</v>
      </c>
      <c r="AB87" s="75" t="s">
        <v>721</v>
      </c>
      <c r="AC87" s="76">
        <v>125</v>
      </c>
      <c r="AD87" s="76">
        <v>5</v>
      </c>
      <c r="AE87" s="75" t="s">
        <v>383</v>
      </c>
      <c r="AF87" s="76">
        <v>1</v>
      </c>
      <c r="AG87" s="75" t="s">
        <v>418</v>
      </c>
      <c r="AH87" s="76">
        <v>2</v>
      </c>
      <c r="AJ87" s="77" t="s">
        <v>757</v>
      </c>
      <c r="AK87" s="87"/>
      <c r="AL87" s="78" t="s">
        <v>366</v>
      </c>
      <c r="AM87" s="79">
        <v>1</v>
      </c>
      <c r="AN87" s="78"/>
      <c r="AO87" s="78"/>
      <c r="AP87" s="79"/>
      <c r="AQ87" s="80" t="s">
        <v>778</v>
      </c>
      <c r="AR87" s="80" t="s">
        <v>394</v>
      </c>
      <c r="AS87" s="81" t="s">
        <v>433</v>
      </c>
      <c r="AT87" s="80" t="s">
        <v>431</v>
      </c>
      <c r="AU87" s="80" t="s">
        <v>395</v>
      </c>
      <c r="AV87" s="82">
        <v>0</v>
      </c>
      <c r="AW87" s="80" t="s">
        <v>379</v>
      </c>
      <c r="AX87" s="80" t="s">
        <v>432</v>
      </c>
      <c r="AY87" s="83" t="s">
        <v>387</v>
      </c>
    </row>
    <row r="88" spans="1:51" x14ac:dyDescent="0.25">
      <c r="A88" s="75" t="s">
        <v>380</v>
      </c>
      <c r="B88" s="76">
        <v>128</v>
      </c>
      <c r="C88" s="76">
        <v>809</v>
      </c>
      <c r="D88" s="76">
        <v>0</v>
      </c>
      <c r="E88" s="85">
        <v>45975</v>
      </c>
      <c r="F88" s="76">
        <v>1232</v>
      </c>
      <c r="G88" s="75" t="s">
        <v>751</v>
      </c>
      <c r="H88" s="75" t="s">
        <v>735</v>
      </c>
      <c r="I88" s="75" t="s">
        <v>758</v>
      </c>
      <c r="J88" s="75" t="s">
        <v>759</v>
      </c>
      <c r="K88" s="68">
        <v>640</v>
      </c>
      <c r="L88" s="86"/>
      <c r="M88" s="68">
        <v>640</v>
      </c>
      <c r="N88" s="85"/>
      <c r="O88" s="85">
        <v>46030</v>
      </c>
      <c r="P88" s="75" t="s">
        <v>31</v>
      </c>
      <c r="Q88" s="76">
        <v>8</v>
      </c>
      <c r="R88" s="76">
        <v>10</v>
      </c>
      <c r="S88" s="75" t="s">
        <v>37</v>
      </c>
      <c r="T88" s="75" t="s">
        <v>381</v>
      </c>
      <c r="U88" s="75" t="s">
        <v>415</v>
      </c>
      <c r="V88" s="75" t="s">
        <v>416</v>
      </c>
      <c r="W88" s="75" t="s">
        <v>755</v>
      </c>
      <c r="X88" s="75" t="s">
        <v>756</v>
      </c>
      <c r="Y88" s="76">
        <v>5</v>
      </c>
      <c r="Z88" s="75" t="s">
        <v>669</v>
      </c>
      <c r="AA88" s="76">
        <v>745</v>
      </c>
      <c r="AB88" s="75" t="s">
        <v>691</v>
      </c>
      <c r="AC88" s="76">
        <v>125</v>
      </c>
      <c r="AD88" s="76">
        <v>5</v>
      </c>
      <c r="AE88" s="75" t="s">
        <v>383</v>
      </c>
      <c r="AF88" s="76">
        <v>1</v>
      </c>
      <c r="AG88" s="75" t="s">
        <v>418</v>
      </c>
      <c r="AH88" s="76">
        <v>2</v>
      </c>
      <c r="AJ88" s="77" t="s">
        <v>757</v>
      </c>
      <c r="AK88" s="87"/>
      <c r="AL88" s="78" t="s">
        <v>366</v>
      </c>
      <c r="AM88" s="79">
        <v>1</v>
      </c>
      <c r="AN88" s="78"/>
      <c r="AO88" s="78"/>
      <c r="AP88" s="79"/>
      <c r="AQ88" s="80" t="s">
        <v>779</v>
      </c>
      <c r="AR88" s="80" t="s">
        <v>394</v>
      </c>
      <c r="AS88" s="81" t="s">
        <v>433</v>
      </c>
      <c r="AT88" s="80" t="s">
        <v>431</v>
      </c>
      <c r="AU88" s="80" t="s">
        <v>395</v>
      </c>
      <c r="AV88" s="82">
        <v>0</v>
      </c>
      <c r="AW88" s="80" t="s">
        <v>379</v>
      </c>
      <c r="AX88" s="80" t="s">
        <v>432</v>
      </c>
      <c r="AY88" s="83" t="s">
        <v>387</v>
      </c>
    </row>
    <row r="89" spans="1:51" x14ac:dyDescent="0.25">
      <c r="A89" s="75" t="s">
        <v>380</v>
      </c>
      <c r="B89" s="76">
        <v>129</v>
      </c>
      <c r="C89" s="76">
        <v>722</v>
      </c>
      <c r="D89" s="76">
        <v>0</v>
      </c>
      <c r="E89" s="85">
        <v>45923</v>
      </c>
      <c r="F89" s="76">
        <v>2382</v>
      </c>
      <c r="G89" s="75" t="s">
        <v>451</v>
      </c>
      <c r="H89" s="75" t="s">
        <v>452</v>
      </c>
      <c r="I89" s="75" t="s">
        <v>452</v>
      </c>
      <c r="J89" s="75" t="s">
        <v>400</v>
      </c>
      <c r="K89" s="68">
        <v>500</v>
      </c>
      <c r="L89" s="86"/>
      <c r="M89" s="68">
        <v>500</v>
      </c>
      <c r="N89" s="85">
        <v>45992</v>
      </c>
      <c r="O89" s="85">
        <v>46017</v>
      </c>
      <c r="P89" s="75" t="s">
        <v>31</v>
      </c>
      <c r="Q89" s="76">
        <v>8</v>
      </c>
      <c r="R89" s="76">
        <v>10</v>
      </c>
      <c r="S89" s="75" t="s">
        <v>47</v>
      </c>
      <c r="T89" s="75" t="s">
        <v>381</v>
      </c>
      <c r="U89" s="75" t="s">
        <v>415</v>
      </c>
      <c r="V89" s="75" t="s">
        <v>416</v>
      </c>
      <c r="W89" s="75" t="s">
        <v>453</v>
      </c>
      <c r="X89" s="75" t="s">
        <v>454</v>
      </c>
      <c r="Y89" s="76">
        <v>5</v>
      </c>
      <c r="Z89" s="75" t="s">
        <v>419</v>
      </c>
      <c r="AA89" s="76">
        <v>870</v>
      </c>
      <c r="AB89" s="75" t="s">
        <v>420</v>
      </c>
      <c r="AC89" s="76">
        <v>235</v>
      </c>
      <c r="AD89" s="76">
        <v>5</v>
      </c>
      <c r="AE89" s="75" t="s">
        <v>383</v>
      </c>
      <c r="AF89" s="76">
        <v>1</v>
      </c>
      <c r="AG89" s="75" t="s">
        <v>418</v>
      </c>
      <c r="AH89" s="76">
        <v>2</v>
      </c>
      <c r="AJ89" s="77" t="s">
        <v>455</v>
      </c>
      <c r="AK89" s="87"/>
      <c r="AL89" s="78" t="s">
        <v>367</v>
      </c>
      <c r="AM89" s="79">
        <v>1</v>
      </c>
      <c r="AN89" s="78"/>
      <c r="AO89" s="78"/>
      <c r="AP89" s="79"/>
      <c r="AQ89" s="80" t="s">
        <v>456</v>
      </c>
      <c r="AR89" s="80" t="s">
        <v>394</v>
      </c>
      <c r="AS89" s="81" t="s">
        <v>433</v>
      </c>
      <c r="AT89" s="80" t="s">
        <v>431</v>
      </c>
      <c r="AU89" s="80" t="s">
        <v>336</v>
      </c>
      <c r="AV89" s="82">
        <v>49</v>
      </c>
      <c r="AW89" s="80" t="s">
        <v>379</v>
      </c>
      <c r="AX89" s="80" t="s">
        <v>432</v>
      </c>
      <c r="AY89" s="83" t="s">
        <v>387</v>
      </c>
    </row>
    <row r="90" spans="1:51" x14ac:dyDescent="0.25">
      <c r="A90" s="75" t="s">
        <v>380</v>
      </c>
      <c r="B90" s="76">
        <v>130</v>
      </c>
      <c r="C90" s="76">
        <v>815</v>
      </c>
      <c r="D90" s="76">
        <v>0</v>
      </c>
      <c r="E90" s="85">
        <v>45978</v>
      </c>
      <c r="F90" s="76">
        <v>2383</v>
      </c>
      <c r="G90" s="75" t="s">
        <v>483</v>
      </c>
      <c r="H90" s="75" t="s">
        <v>841</v>
      </c>
      <c r="I90" s="75" t="s">
        <v>842</v>
      </c>
      <c r="J90" s="75" t="s">
        <v>843</v>
      </c>
      <c r="K90" s="68">
        <v>1500</v>
      </c>
      <c r="L90" s="86"/>
      <c r="M90" s="68">
        <v>1500</v>
      </c>
      <c r="N90" s="85"/>
      <c r="O90" s="85">
        <v>45989</v>
      </c>
      <c r="P90" s="75" t="s">
        <v>31</v>
      </c>
      <c r="Q90" s="76">
        <v>8</v>
      </c>
      <c r="R90" s="76">
        <v>10</v>
      </c>
      <c r="S90" s="75" t="s">
        <v>47</v>
      </c>
      <c r="T90" s="75" t="s">
        <v>381</v>
      </c>
      <c r="U90" s="75" t="s">
        <v>415</v>
      </c>
      <c r="V90" s="75" t="s">
        <v>416</v>
      </c>
      <c r="W90" s="75" t="s">
        <v>483</v>
      </c>
      <c r="X90" s="75" t="s">
        <v>487</v>
      </c>
      <c r="Y90" s="76">
        <v>5</v>
      </c>
      <c r="Z90" s="75" t="s">
        <v>419</v>
      </c>
      <c r="AA90" s="76">
        <v>870</v>
      </c>
      <c r="AB90" s="75" t="s">
        <v>420</v>
      </c>
      <c r="AC90" s="76">
        <v>235</v>
      </c>
      <c r="AD90" s="76">
        <v>5</v>
      </c>
      <c r="AE90" s="75" t="s">
        <v>383</v>
      </c>
      <c r="AF90" s="76">
        <v>1</v>
      </c>
      <c r="AG90" s="75" t="s">
        <v>418</v>
      </c>
      <c r="AH90" s="76">
        <v>2</v>
      </c>
      <c r="AJ90" s="77" t="s">
        <v>844</v>
      </c>
      <c r="AK90" s="87"/>
      <c r="AL90" s="78" t="s">
        <v>366</v>
      </c>
      <c r="AM90" s="79">
        <v>1</v>
      </c>
      <c r="AN90" s="78"/>
      <c r="AO90" s="78"/>
      <c r="AP90" s="79"/>
      <c r="AQ90" s="80" t="s">
        <v>864</v>
      </c>
      <c r="AR90" s="80" t="s">
        <v>394</v>
      </c>
      <c r="AS90" s="81" t="s">
        <v>433</v>
      </c>
      <c r="AT90" s="80" t="s">
        <v>431</v>
      </c>
      <c r="AU90" s="80" t="s">
        <v>395</v>
      </c>
      <c r="AV90" s="82">
        <v>0</v>
      </c>
      <c r="AW90" s="80" t="s">
        <v>379</v>
      </c>
      <c r="AX90" s="80" t="s">
        <v>432</v>
      </c>
      <c r="AY90" s="83" t="s">
        <v>387</v>
      </c>
    </row>
    <row r="91" spans="1:51" x14ac:dyDescent="0.25">
      <c r="A91" s="75" t="s">
        <v>380</v>
      </c>
      <c r="B91" s="76">
        <v>131</v>
      </c>
      <c r="C91" s="76">
        <v>531</v>
      </c>
      <c r="D91" s="76">
        <v>800</v>
      </c>
      <c r="E91" s="85">
        <v>45945</v>
      </c>
      <c r="F91" s="76">
        <v>2383</v>
      </c>
      <c r="G91" s="75" t="s">
        <v>483</v>
      </c>
      <c r="H91" s="75" t="s">
        <v>484</v>
      </c>
      <c r="I91" s="75" t="s">
        <v>485</v>
      </c>
      <c r="J91" s="75" t="s">
        <v>486</v>
      </c>
      <c r="K91" s="68">
        <v>1000</v>
      </c>
      <c r="L91" s="86"/>
      <c r="M91" s="68">
        <v>1000</v>
      </c>
      <c r="N91" s="85"/>
      <c r="O91" s="85">
        <v>46001</v>
      </c>
      <c r="P91" s="75" t="s">
        <v>31</v>
      </c>
      <c r="Q91" s="76">
        <v>8</v>
      </c>
      <c r="R91" s="76">
        <v>10</v>
      </c>
      <c r="S91" s="75" t="s">
        <v>47</v>
      </c>
      <c r="T91" s="75" t="s">
        <v>381</v>
      </c>
      <c r="U91" s="75" t="s">
        <v>415</v>
      </c>
      <c r="V91" s="75" t="s">
        <v>416</v>
      </c>
      <c r="W91" s="75" t="s">
        <v>483</v>
      </c>
      <c r="X91" s="75" t="s">
        <v>487</v>
      </c>
      <c r="Y91" s="76">
        <v>5</v>
      </c>
      <c r="Z91" s="75" t="s">
        <v>419</v>
      </c>
      <c r="AA91" s="76">
        <v>870</v>
      </c>
      <c r="AB91" s="75" t="s">
        <v>420</v>
      </c>
      <c r="AC91" s="76">
        <v>235</v>
      </c>
      <c r="AD91" s="76">
        <v>5</v>
      </c>
      <c r="AE91" s="75" t="s">
        <v>383</v>
      </c>
      <c r="AF91" s="76">
        <v>1</v>
      </c>
      <c r="AG91" s="75" t="s">
        <v>418</v>
      </c>
      <c r="AH91" s="76">
        <v>2</v>
      </c>
      <c r="AJ91" s="77" t="s">
        <v>488</v>
      </c>
      <c r="AK91" s="87">
        <v>45943</v>
      </c>
      <c r="AL91" s="78" t="s">
        <v>366</v>
      </c>
      <c r="AM91" s="79">
        <v>1</v>
      </c>
      <c r="AN91" s="78"/>
      <c r="AO91" s="78"/>
      <c r="AP91" s="79"/>
      <c r="AQ91" s="80" t="s">
        <v>497</v>
      </c>
      <c r="AR91" s="80" t="s">
        <v>396</v>
      </c>
      <c r="AS91" s="81" t="s">
        <v>433</v>
      </c>
      <c r="AT91" s="80" t="s">
        <v>431</v>
      </c>
      <c r="AU91" s="80" t="s">
        <v>395</v>
      </c>
      <c r="AV91" s="82">
        <v>0</v>
      </c>
      <c r="AW91" s="80" t="s">
        <v>379</v>
      </c>
      <c r="AX91" s="80" t="s">
        <v>432</v>
      </c>
      <c r="AY91" s="83" t="s">
        <v>387</v>
      </c>
    </row>
    <row r="92" spans="1:51" x14ac:dyDescent="0.25">
      <c r="A92" s="75" t="s">
        <v>380</v>
      </c>
      <c r="B92" s="76">
        <v>134</v>
      </c>
      <c r="C92" s="76">
        <v>559</v>
      </c>
      <c r="D92" s="76">
        <v>800</v>
      </c>
      <c r="E92" s="85">
        <v>45967</v>
      </c>
      <c r="F92" s="76">
        <v>2452</v>
      </c>
      <c r="G92" s="75" t="s">
        <v>639</v>
      </c>
      <c r="H92" s="75" t="s">
        <v>640</v>
      </c>
      <c r="I92" s="75" t="s">
        <v>641</v>
      </c>
      <c r="J92" s="75" t="s">
        <v>642</v>
      </c>
      <c r="K92" s="68">
        <v>160</v>
      </c>
      <c r="L92" s="86"/>
      <c r="M92" s="68">
        <v>160</v>
      </c>
      <c r="N92" s="85">
        <v>45971</v>
      </c>
      <c r="O92" s="85">
        <v>45981</v>
      </c>
      <c r="P92" s="75"/>
      <c r="Q92" s="76"/>
      <c r="R92" s="76"/>
      <c r="S92" s="75" t="s">
        <v>39</v>
      </c>
      <c r="T92" s="75" t="s">
        <v>381</v>
      </c>
      <c r="U92" s="75" t="s">
        <v>481</v>
      </c>
      <c r="V92" s="75" t="s">
        <v>35</v>
      </c>
      <c r="W92" s="75"/>
      <c r="X92" s="75"/>
      <c r="Y92" s="76">
        <v>5</v>
      </c>
      <c r="Z92" s="75" t="s">
        <v>425</v>
      </c>
      <c r="AA92" s="76">
        <v>208</v>
      </c>
      <c r="AB92" s="75" t="s">
        <v>426</v>
      </c>
      <c r="AC92" s="76">
        <v>120</v>
      </c>
      <c r="AD92" s="76">
        <v>5</v>
      </c>
      <c r="AE92" s="75" t="s">
        <v>383</v>
      </c>
      <c r="AF92" s="76">
        <v>1</v>
      </c>
      <c r="AG92" s="75" t="s">
        <v>418</v>
      </c>
      <c r="AH92" s="76"/>
      <c r="AJ92" s="77" t="s">
        <v>643</v>
      </c>
      <c r="AK92" s="87">
        <v>45964</v>
      </c>
      <c r="AL92" s="78" t="s">
        <v>368</v>
      </c>
      <c r="AM92" s="79">
        <v>0</v>
      </c>
      <c r="AN92" s="78" t="s">
        <v>352</v>
      </c>
      <c r="AO92" s="78"/>
      <c r="AP92" s="79">
        <v>3</v>
      </c>
      <c r="AQ92" s="80" t="s">
        <v>645</v>
      </c>
      <c r="AR92" s="80" t="s">
        <v>396</v>
      </c>
      <c r="AS92" s="81" t="s">
        <v>433</v>
      </c>
      <c r="AT92" s="80" t="s">
        <v>537</v>
      </c>
      <c r="AU92" s="80" t="s">
        <v>336</v>
      </c>
      <c r="AV92" s="82">
        <v>46</v>
      </c>
      <c r="AW92" s="80" t="s">
        <v>379</v>
      </c>
      <c r="AX92" s="80" t="s">
        <v>397</v>
      </c>
      <c r="AY92" s="83" t="s">
        <v>387</v>
      </c>
    </row>
    <row r="93" spans="1:51" x14ac:dyDescent="0.25">
      <c r="A93" s="75" t="s">
        <v>380</v>
      </c>
      <c r="B93" s="76">
        <v>135</v>
      </c>
      <c r="C93" s="76">
        <v>560</v>
      </c>
      <c r="D93" s="76">
        <v>800</v>
      </c>
      <c r="E93" s="85">
        <v>45967</v>
      </c>
      <c r="F93" s="76">
        <v>2452</v>
      </c>
      <c r="G93" s="75" t="s">
        <v>639</v>
      </c>
      <c r="H93" s="75" t="s">
        <v>640</v>
      </c>
      <c r="I93" s="75" t="s">
        <v>641</v>
      </c>
      <c r="J93" s="75" t="s">
        <v>642</v>
      </c>
      <c r="K93" s="68">
        <v>3200</v>
      </c>
      <c r="L93" s="86"/>
      <c r="M93" s="68">
        <v>3200</v>
      </c>
      <c r="N93" s="85"/>
      <c r="O93" s="85">
        <v>46027</v>
      </c>
      <c r="P93" s="75"/>
      <c r="Q93" s="76"/>
      <c r="R93" s="76"/>
      <c r="S93" s="75" t="s">
        <v>39</v>
      </c>
      <c r="T93" s="75" t="s">
        <v>381</v>
      </c>
      <c r="U93" s="75" t="s">
        <v>481</v>
      </c>
      <c r="V93" s="75" t="s">
        <v>35</v>
      </c>
      <c r="W93" s="75"/>
      <c r="X93" s="75"/>
      <c r="Y93" s="76">
        <v>5</v>
      </c>
      <c r="Z93" s="75" t="s">
        <v>425</v>
      </c>
      <c r="AA93" s="76">
        <v>208</v>
      </c>
      <c r="AB93" s="75" t="s">
        <v>426</v>
      </c>
      <c r="AC93" s="76">
        <v>120</v>
      </c>
      <c r="AD93" s="76">
        <v>5</v>
      </c>
      <c r="AE93" s="75" t="s">
        <v>383</v>
      </c>
      <c r="AF93" s="76">
        <v>1</v>
      </c>
      <c r="AG93" s="75" t="s">
        <v>418</v>
      </c>
      <c r="AH93" s="76"/>
      <c r="AJ93" s="77" t="s">
        <v>644</v>
      </c>
      <c r="AK93" s="87">
        <v>45964</v>
      </c>
      <c r="AL93" s="78" t="s">
        <v>368</v>
      </c>
      <c r="AM93" s="79">
        <v>0</v>
      </c>
      <c r="AN93" s="78" t="s">
        <v>352</v>
      </c>
      <c r="AO93" s="78"/>
      <c r="AP93" s="79">
        <v>3</v>
      </c>
      <c r="AQ93" s="80" t="s">
        <v>646</v>
      </c>
      <c r="AR93" s="80" t="s">
        <v>396</v>
      </c>
      <c r="AS93" s="81" t="s">
        <v>433</v>
      </c>
      <c r="AT93" s="80" t="s">
        <v>537</v>
      </c>
      <c r="AU93" s="80" t="s">
        <v>395</v>
      </c>
      <c r="AV93" s="82">
        <v>0</v>
      </c>
      <c r="AW93" s="80" t="s">
        <v>379</v>
      </c>
      <c r="AX93" s="80" t="s">
        <v>397</v>
      </c>
      <c r="AY93" s="83" t="s">
        <v>387</v>
      </c>
    </row>
    <row r="94" spans="1:51" x14ac:dyDescent="0.25">
      <c r="A94" s="75" t="s">
        <v>380</v>
      </c>
      <c r="B94" s="76">
        <v>137</v>
      </c>
      <c r="C94" s="76">
        <v>803</v>
      </c>
      <c r="D94" s="76">
        <v>0</v>
      </c>
      <c r="E94" s="85">
        <v>45975</v>
      </c>
      <c r="F94" s="76">
        <v>2458</v>
      </c>
      <c r="G94" s="75" t="s">
        <v>760</v>
      </c>
      <c r="H94" s="75" t="s">
        <v>606</v>
      </c>
      <c r="I94" s="75" t="s">
        <v>761</v>
      </c>
      <c r="J94" s="75" t="s">
        <v>762</v>
      </c>
      <c r="K94" s="68">
        <v>640</v>
      </c>
      <c r="L94" s="86"/>
      <c r="M94" s="68">
        <v>640</v>
      </c>
      <c r="N94" s="85"/>
      <c r="O94" s="85">
        <v>45993</v>
      </c>
      <c r="P94" s="75" t="s">
        <v>31</v>
      </c>
      <c r="Q94" s="76">
        <v>8</v>
      </c>
      <c r="R94" s="76">
        <v>10</v>
      </c>
      <c r="S94" s="75" t="s">
        <v>37</v>
      </c>
      <c r="T94" s="75" t="s">
        <v>381</v>
      </c>
      <c r="U94" s="75" t="s">
        <v>415</v>
      </c>
      <c r="V94" s="75" t="s">
        <v>416</v>
      </c>
      <c r="W94" s="75" t="s">
        <v>760</v>
      </c>
      <c r="X94" s="75" t="s">
        <v>763</v>
      </c>
      <c r="Y94" s="76">
        <v>5</v>
      </c>
      <c r="Z94" s="75" t="s">
        <v>425</v>
      </c>
      <c r="AA94" s="76">
        <v>208</v>
      </c>
      <c r="AB94" s="75" t="s">
        <v>426</v>
      </c>
      <c r="AC94" s="76">
        <v>120</v>
      </c>
      <c r="AD94" s="76">
        <v>5</v>
      </c>
      <c r="AE94" s="75" t="s">
        <v>383</v>
      </c>
      <c r="AF94" s="76">
        <v>1</v>
      </c>
      <c r="AG94" s="75" t="s">
        <v>418</v>
      </c>
      <c r="AH94" s="76">
        <v>2</v>
      </c>
      <c r="AJ94" s="77" t="s">
        <v>764</v>
      </c>
      <c r="AK94" s="87"/>
      <c r="AL94" s="78" t="s">
        <v>366</v>
      </c>
      <c r="AM94" s="79">
        <v>1</v>
      </c>
      <c r="AN94" s="78"/>
      <c r="AO94" s="78"/>
      <c r="AP94" s="79"/>
      <c r="AQ94" s="80" t="s">
        <v>780</v>
      </c>
      <c r="AR94" s="80" t="s">
        <v>394</v>
      </c>
      <c r="AS94" s="81" t="s">
        <v>433</v>
      </c>
      <c r="AT94" s="80" t="s">
        <v>431</v>
      </c>
      <c r="AU94" s="80" t="s">
        <v>395</v>
      </c>
      <c r="AV94" s="82">
        <v>0</v>
      </c>
      <c r="AW94" s="80" t="s">
        <v>379</v>
      </c>
      <c r="AX94" s="80" t="s">
        <v>432</v>
      </c>
      <c r="AY94" s="83" t="s">
        <v>387</v>
      </c>
    </row>
    <row r="95" spans="1:51" x14ac:dyDescent="0.25">
      <c r="A95" s="75" t="s">
        <v>380</v>
      </c>
      <c r="B95" s="76">
        <v>138</v>
      </c>
      <c r="C95" s="76">
        <v>807</v>
      </c>
      <c r="D95" s="76">
        <v>0</v>
      </c>
      <c r="E95" s="85">
        <v>45975</v>
      </c>
      <c r="F95" s="76">
        <v>2458</v>
      </c>
      <c r="G95" s="75" t="s">
        <v>760</v>
      </c>
      <c r="H95" s="75" t="s">
        <v>606</v>
      </c>
      <c r="I95" s="75" t="s">
        <v>761</v>
      </c>
      <c r="J95" s="75" t="s">
        <v>762</v>
      </c>
      <c r="K95" s="68">
        <v>1240</v>
      </c>
      <c r="L95" s="86"/>
      <c r="M95" s="68">
        <v>1240</v>
      </c>
      <c r="N95" s="85"/>
      <c r="O95" s="85">
        <v>46030</v>
      </c>
      <c r="P95" s="75" t="s">
        <v>30</v>
      </c>
      <c r="Q95" s="76">
        <v>8</v>
      </c>
      <c r="R95" s="76">
        <v>10</v>
      </c>
      <c r="S95" s="75" t="s">
        <v>37</v>
      </c>
      <c r="T95" s="75" t="s">
        <v>381</v>
      </c>
      <c r="U95" s="75" t="s">
        <v>415</v>
      </c>
      <c r="V95" s="75" t="s">
        <v>416</v>
      </c>
      <c r="W95" s="75" t="s">
        <v>760</v>
      </c>
      <c r="X95" s="75" t="s">
        <v>763</v>
      </c>
      <c r="Y95" s="76">
        <v>5</v>
      </c>
      <c r="Z95" s="75" t="s">
        <v>425</v>
      </c>
      <c r="AA95" s="76">
        <v>208</v>
      </c>
      <c r="AB95" s="75" t="s">
        <v>426</v>
      </c>
      <c r="AC95" s="76">
        <v>120</v>
      </c>
      <c r="AD95" s="76">
        <v>5</v>
      </c>
      <c r="AE95" s="75" t="s">
        <v>383</v>
      </c>
      <c r="AF95" s="76">
        <v>1</v>
      </c>
      <c r="AG95" s="75" t="s">
        <v>418</v>
      </c>
      <c r="AH95" s="76">
        <v>1</v>
      </c>
      <c r="AJ95" s="77" t="s">
        <v>765</v>
      </c>
      <c r="AK95" s="87"/>
      <c r="AL95" s="78" t="s">
        <v>366</v>
      </c>
      <c r="AM95" s="79">
        <v>1</v>
      </c>
      <c r="AN95" s="78" t="s">
        <v>347</v>
      </c>
      <c r="AO95" s="78" t="s">
        <v>334</v>
      </c>
      <c r="AP95" s="79">
        <v>5</v>
      </c>
      <c r="AQ95" s="80" t="s">
        <v>781</v>
      </c>
      <c r="AR95" s="80" t="s">
        <v>394</v>
      </c>
      <c r="AS95" s="81" t="s">
        <v>433</v>
      </c>
      <c r="AT95" s="80" t="s">
        <v>431</v>
      </c>
      <c r="AU95" s="80" t="s">
        <v>395</v>
      </c>
      <c r="AV95" s="82">
        <v>0</v>
      </c>
      <c r="AW95" s="80" t="s">
        <v>379</v>
      </c>
      <c r="AX95" s="80" t="s">
        <v>432</v>
      </c>
      <c r="AY95" s="83" t="s">
        <v>387</v>
      </c>
    </row>
    <row r="96" spans="1:51" x14ac:dyDescent="0.25">
      <c r="A96" s="75" t="s">
        <v>380</v>
      </c>
      <c r="B96" s="76">
        <v>139</v>
      </c>
      <c r="C96" s="76">
        <v>810</v>
      </c>
      <c r="D96" s="76">
        <v>0</v>
      </c>
      <c r="E96" s="85">
        <v>45975</v>
      </c>
      <c r="F96" s="76">
        <v>2458</v>
      </c>
      <c r="G96" s="75" t="s">
        <v>760</v>
      </c>
      <c r="H96" s="75" t="s">
        <v>452</v>
      </c>
      <c r="I96" s="75" t="s">
        <v>766</v>
      </c>
      <c r="J96" s="75" t="s">
        <v>767</v>
      </c>
      <c r="K96" s="68">
        <v>1500</v>
      </c>
      <c r="L96" s="86"/>
      <c r="M96" s="68">
        <v>1500</v>
      </c>
      <c r="N96" s="85"/>
      <c r="O96" s="85">
        <v>46031</v>
      </c>
      <c r="P96" s="75" t="s">
        <v>30</v>
      </c>
      <c r="Q96" s="76">
        <v>8</v>
      </c>
      <c r="R96" s="76">
        <v>10</v>
      </c>
      <c r="S96" s="75" t="s">
        <v>47</v>
      </c>
      <c r="T96" s="75" t="s">
        <v>381</v>
      </c>
      <c r="U96" s="75" t="s">
        <v>415</v>
      </c>
      <c r="V96" s="75" t="s">
        <v>416</v>
      </c>
      <c r="W96" s="75" t="s">
        <v>760</v>
      </c>
      <c r="X96" s="75" t="s">
        <v>763</v>
      </c>
      <c r="Y96" s="76">
        <v>5</v>
      </c>
      <c r="Z96" s="75" t="s">
        <v>419</v>
      </c>
      <c r="AA96" s="76">
        <v>870</v>
      </c>
      <c r="AB96" s="75" t="s">
        <v>420</v>
      </c>
      <c r="AC96" s="76">
        <v>235</v>
      </c>
      <c r="AD96" s="76">
        <v>5</v>
      </c>
      <c r="AE96" s="75" t="s">
        <v>383</v>
      </c>
      <c r="AF96" s="76">
        <v>1</v>
      </c>
      <c r="AG96" s="75" t="s">
        <v>418</v>
      </c>
      <c r="AH96" s="76">
        <v>1</v>
      </c>
      <c r="AJ96" s="77" t="s">
        <v>768</v>
      </c>
      <c r="AK96" s="87"/>
      <c r="AL96" s="78" t="s">
        <v>366</v>
      </c>
      <c r="AM96" s="79">
        <v>1</v>
      </c>
      <c r="AN96" s="78" t="s">
        <v>347</v>
      </c>
      <c r="AO96" s="78" t="s">
        <v>334</v>
      </c>
      <c r="AP96" s="79">
        <v>5</v>
      </c>
      <c r="AQ96" s="80" t="s">
        <v>782</v>
      </c>
      <c r="AR96" s="80" t="s">
        <v>394</v>
      </c>
      <c r="AS96" s="81" t="s">
        <v>433</v>
      </c>
      <c r="AT96" s="80" t="s">
        <v>431</v>
      </c>
      <c r="AU96" s="80" t="s">
        <v>395</v>
      </c>
      <c r="AV96" s="82">
        <v>0</v>
      </c>
      <c r="AW96" s="80" t="s">
        <v>379</v>
      </c>
      <c r="AX96" s="80" t="s">
        <v>432</v>
      </c>
      <c r="AY96" s="83" t="s">
        <v>387</v>
      </c>
    </row>
  </sheetData>
  <autoFilter ref="A1:AY96" xr:uid="{7FF8C9AF-65D0-4046-A5CC-9D6E388517F1}"/>
  <conditionalFormatting sqref="AW2:AW96">
    <cfRule type="expression" dxfId="5" priority="4" stopIfTrue="1">
      <formula>AW2="Data cons. rich. INSERITA"</formula>
    </cfRule>
    <cfRule type="expression" dxfId="4" priority="10" stopIfTrue="1">
      <formula>TRUE</formula>
    </cfRule>
  </conditionalFormatting>
  <conditionalFormatting sqref="AX2:AX96">
    <cfRule type="expression" dxfId="3" priority="6" stopIfTrue="1">
      <formula>AX2="Città OK"</formula>
    </cfRule>
    <cfRule type="expression" dxfId="2" priority="12" stopIfTrue="1">
      <formula>TRUE</formula>
    </cfRule>
  </conditionalFormatting>
  <conditionalFormatting sqref="AY2:AY96">
    <cfRule type="expression" dxfId="1" priority="7" stopIfTrue="1">
      <formula>AY2="OK"</formula>
    </cfRule>
    <cfRule type="expression" dxfId="0" priority="13" stopIfTrue="1">
      <formula>TRUE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D962C44D-1BA1-49F1-93E7-F2DD5284991A}">
            <xm:f>N2&lt;param!$B$2</xm:f>
            <x14:dxf>
              <font>
                <b val="0"/>
                <i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N2:N96</xm:sqref>
        </x14:conditionalFormatting>
        <x14:conditionalFormatting xmlns:xm="http://schemas.microsoft.com/office/excel/2006/main">
          <x14:cfRule type="expression" priority="2" stopIfTrue="1" id="{21AF5B71-0778-4B28-853D-1EE2B2EB5F55}">
            <xm:f>O2&lt;param!$C$2</xm:f>
            <x14:dxf>
              <font>
                <b val="0"/>
                <i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O2:O96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B307-3C32-40F5-B58C-369B13740D5D}">
  <sheetPr codeName="Foglio5"/>
  <dimension ref="A1:C2"/>
  <sheetViews>
    <sheetView workbookViewId="0">
      <selection activeCell="B2" sqref="B2"/>
    </sheetView>
  </sheetViews>
  <sheetFormatPr defaultRowHeight="15" x14ac:dyDescent="0.25"/>
  <cols>
    <col min="1" max="1" width="13.5703125" style="1" customWidth="1"/>
    <col min="2" max="2" width="10.42578125" style="1" bestFit="1" customWidth="1"/>
    <col min="3" max="3" width="14.140625" style="1" customWidth="1"/>
  </cols>
  <sheetData>
    <row r="1" spans="1:3" x14ac:dyDescent="0.25">
      <c r="A1" s="1" t="s">
        <v>74</v>
      </c>
      <c r="B1" s="1" t="s">
        <v>76</v>
      </c>
      <c r="C1" s="1" t="s">
        <v>75</v>
      </c>
    </row>
    <row r="2" spans="1:3" x14ac:dyDescent="0.25">
      <c r="A2" s="1">
        <f ca="1">TODAY()</f>
        <v>45979</v>
      </c>
      <c r="B2" s="1">
        <f ca="1">A2-3</f>
        <v>45976</v>
      </c>
      <c r="C2" s="1">
        <f ca="1">A2-5</f>
        <v>45974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1:I739"/>
  <sheetViews>
    <sheetView topLeftCell="A160" zoomScale="87" zoomScaleNormal="87" workbookViewId="0">
      <selection activeCell="G169" sqref="G169"/>
    </sheetView>
  </sheetViews>
  <sheetFormatPr defaultColWidth="12.42578125" defaultRowHeight="30" customHeight="1" x14ac:dyDescent="0.25"/>
  <cols>
    <col min="1" max="1" width="19.28515625" style="12" customWidth="1"/>
    <col min="2" max="2" width="12.140625" style="21" customWidth="1"/>
    <col min="3" max="3" width="90.85546875" style="20" customWidth="1"/>
    <col min="4" max="4" width="11.5703125" style="19" customWidth="1"/>
    <col min="5" max="5" width="13.85546875" style="16" customWidth="1"/>
    <col min="6" max="6" width="18" style="19" customWidth="1"/>
    <col min="7" max="7" width="18.28515625" style="20" customWidth="1"/>
    <col min="8" max="8" width="18.28515625" style="22" customWidth="1"/>
    <col min="9" max="9" width="56" style="20" customWidth="1"/>
    <col min="10" max="16384" width="12.42578125" style="12"/>
  </cols>
  <sheetData>
    <row r="1" spans="1:9" ht="30" customHeight="1" x14ac:dyDescent="0.25">
      <c r="A1" s="14" t="s">
        <v>77</v>
      </c>
      <c r="B1" s="15" t="s">
        <v>78</v>
      </c>
      <c r="C1" s="15" t="s">
        <v>79</v>
      </c>
      <c r="D1" s="15" t="s">
        <v>80</v>
      </c>
      <c r="E1" s="17" t="s">
        <v>81</v>
      </c>
      <c r="F1" s="15" t="s">
        <v>82</v>
      </c>
      <c r="G1" s="15" t="s">
        <v>83</v>
      </c>
      <c r="H1" s="15" t="s">
        <v>84</v>
      </c>
      <c r="I1" s="13" t="s">
        <v>85</v>
      </c>
    </row>
    <row r="2" spans="1:9" ht="34.5" customHeight="1" x14ac:dyDescent="0.25">
      <c r="A2" s="29" t="s">
        <v>86</v>
      </c>
      <c r="B2" s="15" t="s">
        <v>47</v>
      </c>
      <c r="C2" s="39" t="s">
        <v>87</v>
      </c>
      <c r="D2" s="37">
        <v>20</v>
      </c>
      <c r="E2" s="43">
        <v>40</v>
      </c>
      <c r="F2" s="33">
        <v>2</v>
      </c>
      <c r="G2" s="34" t="s">
        <v>88</v>
      </c>
      <c r="H2" s="34" t="s">
        <v>89</v>
      </c>
      <c r="I2" s="38" t="s">
        <v>90</v>
      </c>
    </row>
    <row r="3" spans="1:9" ht="36" customHeight="1" x14ac:dyDescent="0.25">
      <c r="A3" s="29" t="s">
        <v>91</v>
      </c>
      <c r="B3" s="15" t="s">
        <v>47</v>
      </c>
      <c r="C3" s="39" t="s">
        <v>87</v>
      </c>
      <c r="D3" s="37">
        <v>20</v>
      </c>
      <c r="E3" s="43">
        <v>60</v>
      </c>
      <c r="F3" s="33">
        <v>3</v>
      </c>
      <c r="G3" s="34" t="s">
        <v>88</v>
      </c>
      <c r="H3" s="34" t="s">
        <v>89</v>
      </c>
      <c r="I3" s="38" t="s">
        <v>90</v>
      </c>
    </row>
    <row r="4" spans="1:9" ht="30" customHeight="1" x14ac:dyDescent="0.25">
      <c r="A4" s="29" t="s">
        <v>92</v>
      </c>
      <c r="B4" s="15" t="s">
        <v>47</v>
      </c>
      <c r="C4" s="39" t="s">
        <v>87</v>
      </c>
      <c r="D4" s="37">
        <v>20</v>
      </c>
      <c r="E4" s="43">
        <v>80</v>
      </c>
      <c r="F4" s="33">
        <v>4</v>
      </c>
      <c r="G4" s="34" t="s">
        <v>93</v>
      </c>
      <c r="H4" s="28" t="s">
        <v>94</v>
      </c>
      <c r="I4" s="38" t="s">
        <v>90</v>
      </c>
    </row>
    <row r="5" spans="1:9" ht="30" customHeight="1" x14ac:dyDescent="0.25">
      <c r="A5" s="29" t="s">
        <v>95</v>
      </c>
      <c r="B5" s="15" t="s">
        <v>47</v>
      </c>
      <c r="C5" s="39" t="s">
        <v>87</v>
      </c>
      <c r="D5" s="37">
        <v>20</v>
      </c>
      <c r="E5" s="43">
        <v>100</v>
      </c>
      <c r="F5" s="33">
        <v>5</v>
      </c>
      <c r="G5" s="34" t="s">
        <v>93</v>
      </c>
      <c r="H5" s="28" t="s">
        <v>94</v>
      </c>
      <c r="I5" s="38" t="s">
        <v>90</v>
      </c>
    </row>
    <row r="6" spans="1:9" ht="30" customHeight="1" x14ac:dyDescent="0.25">
      <c r="A6" s="29" t="s">
        <v>96</v>
      </c>
      <c r="B6" s="15" t="s">
        <v>47</v>
      </c>
      <c r="C6" s="39" t="s">
        <v>87</v>
      </c>
      <c r="D6" s="37">
        <v>20</v>
      </c>
      <c r="E6" s="43">
        <v>120</v>
      </c>
      <c r="F6" s="33">
        <v>6</v>
      </c>
      <c r="G6" s="34" t="s">
        <v>93</v>
      </c>
      <c r="H6" s="28" t="s">
        <v>94</v>
      </c>
      <c r="I6" s="38" t="s">
        <v>90</v>
      </c>
    </row>
    <row r="7" spans="1:9" ht="30" customHeight="1" x14ac:dyDescent="0.25">
      <c r="A7" s="29" t="s">
        <v>97</v>
      </c>
      <c r="B7" s="15" t="s">
        <v>47</v>
      </c>
      <c r="C7" s="39" t="s">
        <v>87</v>
      </c>
      <c r="D7" s="37">
        <v>20</v>
      </c>
      <c r="E7" s="43">
        <v>140</v>
      </c>
      <c r="F7" s="33">
        <v>7</v>
      </c>
      <c r="G7" s="34" t="s">
        <v>93</v>
      </c>
      <c r="H7" s="28" t="s">
        <v>94</v>
      </c>
      <c r="I7" s="38" t="s">
        <v>90</v>
      </c>
    </row>
    <row r="8" spans="1:9" ht="30" customHeight="1" x14ac:dyDescent="0.25">
      <c r="A8" s="29" t="s">
        <v>98</v>
      </c>
      <c r="B8" s="15" t="s">
        <v>47</v>
      </c>
      <c r="C8" s="39" t="s">
        <v>87</v>
      </c>
      <c r="D8" s="37">
        <v>20</v>
      </c>
      <c r="E8" s="43">
        <v>160</v>
      </c>
      <c r="F8" s="33">
        <v>8</v>
      </c>
      <c r="G8" s="34" t="s">
        <v>93</v>
      </c>
      <c r="H8" s="28" t="s">
        <v>94</v>
      </c>
      <c r="I8" s="38" t="s">
        <v>90</v>
      </c>
    </row>
    <row r="9" spans="1:9" ht="30" customHeight="1" x14ac:dyDescent="0.25">
      <c r="A9" s="29" t="s">
        <v>99</v>
      </c>
      <c r="B9" s="15" t="s">
        <v>47</v>
      </c>
      <c r="C9" s="39" t="s">
        <v>87</v>
      </c>
      <c r="D9" s="37">
        <v>20</v>
      </c>
      <c r="E9" s="43">
        <v>200</v>
      </c>
      <c r="F9" s="33">
        <v>10</v>
      </c>
      <c r="G9" s="34" t="s">
        <v>93</v>
      </c>
      <c r="H9" s="28" t="s">
        <v>100</v>
      </c>
      <c r="I9" s="38" t="s">
        <v>90</v>
      </c>
    </row>
    <row r="10" spans="1:9" ht="30" customHeight="1" x14ac:dyDescent="0.25">
      <c r="A10" s="29" t="s">
        <v>101</v>
      </c>
      <c r="B10" s="15" t="s">
        <v>47</v>
      </c>
      <c r="C10" s="39" t="s">
        <v>87</v>
      </c>
      <c r="D10" s="37">
        <v>20</v>
      </c>
      <c r="E10" s="43">
        <v>240</v>
      </c>
      <c r="F10" s="33">
        <v>12</v>
      </c>
      <c r="G10" s="34" t="s">
        <v>93</v>
      </c>
      <c r="H10" s="28" t="s">
        <v>100</v>
      </c>
      <c r="I10" s="38" t="s">
        <v>90</v>
      </c>
    </row>
    <row r="11" spans="1:9" ht="30" customHeight="1" x14ac:dyDescent="0.25">
      <c r="A11" s="29" t="s">
        <v>102</v>
      </c>
      <c r="B11" s="15" t="s">
        <v>47</v>
      </c>
      <c r="C11" s="39" t="s">
        <v>87</v>
      </c>
      <c r="D11" s="37">
        <v>20</v>
      </c>
      <c r="E11" s="43">
        <v>300</v>
      </c>
      <c r="F11" s="33">
        <v>15</v>
      </c>
      <c r="G11" s="34" t="s">
        <v>93</v>
      </c>
      <c r="H11" s="28" t="s">
        <v>100</v>
      </c>
      <c r="I11" s="38" t="s">
        <v>90</v>
      </c>
    </row>
    <row r="12" spans="1:9" ht="30" customHeight="1" x14ac:dyDescent="0.25">
      <c r="A12" s="29" t="s">
        <v>103</v>
      </c>
      <c r="B12" s="15" t="s">
        <v>47</v>
      </c>
      <c r="C12" s="39" t="s">
        <v>87</v>
      </c>
      <c r="D12" s="37">
        <v>20</v>
      </c>
      <c r="E12" s="43">
        <v>360</v>
      </c>
      <c r="F12" s="33">
        <v>18</v>
      </c>
      <c r="G12" s="34" t="s">
        <v>93</v>
      </c>
      <c r="H12" s="28" t="s">
        <v>100</v>
      </c>
      <c r="I12" s="38" t="s">
        <v>90</v>
      </c>
    </row>
    <row r="13" spans="1:9" ht="30" customHeight="1" x14ac:dyDescent="0.25">
      <c r="A13" s="29" t="s">
        <v>104</v>
      </c>
      <c r="B13" s="15" t="s">
        <v>47</v>
      </c>
      <c r="C13" s="39" t="s">
        <v>87</v>
      </c>
      <c r="D13" s="37">
        <v>20</v>
      </c>
      <c r="E13" s="43">
        <v>400</v>
      </c>
      <c r="F13" s="33">
        <v>20</v>
      </c>
      <c r="G13" s="34" t="s">
        <v>93</v>
      </c>
      <c r="H13" s="28" t="s">
        <v>105</v>
      </c>
      <c r="I13" s="38" t="s">
        <v>90</v>
      </c>
    </row>
    <row r="14" spans="1:9" ht="30" customHeight="1" x14ac:dyDescent="0.25">
      <c r="A14" s="29" t="s">
        <v>106</v>
      </c>
      <c r="B14" s="15" t="s">
        <v>47</v>
      </c>
      <c r="C14" s="39" t="s">
        <v>87</v>
      </c>
      <c r="D14" s="37">
        <v>20</v>
      </c>
      <c r="E14" s="43">
        <v>480</v>
      </c>
      <c r="F14" s="33">
        <v>24</v>
      </c>
      <c r="G14" s="34" t="s">
        <v>93</v>
      </c>
      <c r="H14" s="28" t="s">
        <v>105</v>
      </c>
      <c r="I14" s="38" t="s">
        <v>90</v>
      </c>
    </row>
    <row r="15" spans="1:9" s="20" customFormat="1" ht="30" customHeight="1" x14ac:dyDescent="0.25">
      <c r="A15" s="29" t="s">
        <v>107</v>
      </c>
      <c r="B15" s="15" t="s">
        <v>47</v>
      </c>
      <c r="C15" s="39" t="s">
        <v>87</v>
      </c>
      <c r="D15" s="37">
        <v>20</v>
      </c>
      <c r="E15" s="43">
        <v>500</v>
      </c>
      <c r="F15" s="33">
        <v>25</v>
      </c>
      <c r="G15" s="34" t="s">
        <v>93</v>
      </c>
      <c r="H15" s="34" t="s">
        <v>105</v>
      </c>
      <c r="I15" s="38" t="s">
        <v>108</v>
      </c>
    </row>
    <row r="16" spans="1:9" ht="30" customHeight="1" x14ac:dyDescent="0.25">
      <c r="A16" s="29" t="s">
        <v>109</v>
      </c>
      <c r="B16" s="15" t="s">
        <v>47</v>
      </c>
      <c r="C16" s="39" t="s">
        <v>87</v>
      </c>
      <c r="D16" s="37">
        <v>20</v>
      </c>
      <c r="E16" s="43">
        <v>640</v>
      </c>
      <c r="F16" s="33">
        <v>32</v>
      </c>
      <c r="G16" s="34" t="s">
        <v>93</v>
      </c>
      <c r="H16" s="34" t="s">
        <v>110</v>
      </c>
      <c r="I16" s="38" t="s">
        <v>90</v>
      </c>
    </row>
    <row r="17" spans="1:9" ht="30" customHeight="1" x14ac:dyDescent="0.25">
      <c r="A17" s="29" t="s">
        <v>111</v>
      </c>
      <c r="B17" s="15" t="s">
        <v>47</v>
      </c>
      <c r="C17" s="39" t="s">
        <v>87</v>
      </c>
      <c r="D17" s="37">
        <v>20</v>
      </c>
      <c r="E17" s="43">
        <v>700</v>
      </c>
      <c r="F17" s="33">
        <v>35</v>
      </c>
      <c r="G17" s="34" t="s">
        <v>93</v>
      </c>
      <c r="H17" s="28" t="s">
        <v>110</v>
      </c>
      <c r="I17" s="38" t="s">
        <v>90</v>
      </c>
    </row>
    <row r="18" spans="1:9" s="18" customFormat="1" ht="30" customHeight="1" x14ac:dyDescent="0.25">
      <c r="A18" s="54" t="s">
        <v>112</v>
      </c>
      <c r="B18" s="27" t="s">
        <v>42</v>
      </c>
      <c r="C18" s="39" t="s">
        <v>113</v>
      </c>
      <c r="D18" s="26">
        <v>20</v>
      </c>
      <c r="E18" s="44">
        <v>40</v>
      </c>
      <c r="F18" s="25">
        <v>2</v>
      </c>
      <c r="G18" s="34" t="s">
        <v>88</v>
      </c>
      <c r="H18" s="50" t="s">
        <v>89</v>
      </c>
      <c r="I18" s="55" t="s">
        <v>114</v>
      </c>
    </row>
    <row r="19" spans="1:9" s="18" customFormat="1" ht="30" customHeight="1" x14ac:dyDescent="0.25">
      <c r="A19" s="54" t="s">
        <v>115</v>
      </c>
      <c r="B19" s="27" t="s">
        <v>42</v>
      </c>
      <c r="C19" s="39" t="s">
        <v>113</v>
      </c>
      <c r="D19" s="26">
        <v>20</v>
      </c>
      <c r="E19" s="44">
        <v>60</v>
      </c>
      <c r="F19" s="25">
        <v>3</v>
      </c>
      <c r="G19" s="34" t="s">
        <v>88</v>
      </c>
      <c r="H19" s="50" t="s">
        <v>89</v>
      </c>
      <c r="I19" s="55" t="s">
        <v>114</v>
      </c>
    </row>
    <row r="20" spans="1:9" s="18" customFormat="1" ht="30" customHeight="1" x14ac:dyDescent="0.25">
      <c r="A20" s="54" t="s">
        <v>116</v>
      </c>
      <c r="B20" s="27" t="s">
        <v>42</v>
      </c>
      <c r="C20" s="39" t="s">
        <v>113</v>
      </c>
      <c r="D20" s="26">
        <v>20</v>
      </c>
      <c r="E20" s="44">
        <v>80</v>
      </c>
      <c r="F20" s="25">
        <v>4</v>
      </c>
      <c r="G20" s="34" t="s">
        <v>117</v>
      </c>
      <c r="H20" s="51" t="s">
        <v>94</v>
      </c>
      <c r="I20" s="55" t="s">
        <v>114</v>
      </c>
    </row>
    <row r="21" spans="1:9" s="18" customFormat="1" ht="30" customHeight="1" x14ac:dyDescent="0.25">
      <c r="A21" s="54" t="s">
        <v>118</v>
      </c>
      <c r="B21" s="27" t="s">
        <v>42</v>
      </c>
      <c r="C21" s="39" t="s">
        <v>113</v>
      </c>
      <c r="D21" s="26">
        <v>20</v>
      </c>
      <c r="E21" s="44">
        <v>100</v>
      </c>
      <c r="F21" s="25">
        <v>5</v>
      </c>
      <c r="G21" s="34" t="s">
        <v>117</v>
      </c>
      <c r="H21" s="51" t="s">
        <v>94</v>
      </c>
      <c r="I21" s="55" t="s">
        <v>114</v>
      </c>
    </row>
    <row r="22" spans="1:9" s="18" customFormat="1" ht="30" customHeight="1" x14ac:dyDescent="0.25">
      <c r="A22" s="54" t="s">
        <v>119</v>
      </c>
      <c r="B22" s="27" t="s">
        <v>42</v>
      </c>
      <c r="C22" s="39" t="s">
        <v>113</v>
      </c>
      <c r="D22" s="26">
        <v>20</v>
      </c>
      <c r="E22" s="44">
        <v>120</v>
      </c>
      <c r="F22" s="25">
        <v>6</v>
      </c>
      <c r="G22" s="34" t="s">
        <v>117</v>
      </c>
      <c r="H22" s="51" t="s">
        <v>94</v>
      </c>
      <c r="I22" s="55" t="s">
        <v>114</v>
      </c>
    </row>
    <row r="23" spans="1:9" s="18" customFormat="1" ht="30" customHeight="1" x14ac:dyDescent="0.25">
      <c r="A23" s="54" t="s">
        <v>120</v>
      </c>
      <c r="B23" s="27" t="s">
        <v>42</v>
      </c>
      <c r="C23" s="39" t="s">
        <v>113</v>
      </c>
      <c r="D23" s="26">
        <v>20</v>
      </c>
      <c r="E23" s="44">
        <v>140</v>
      </c>
      <c r="F23" s="25">
        <v>7</v>
      </c>
      <c r="G23" s="34" t="s">
        <v>117</v>
      </c>
      <c r="H23" s="51" t="s">
        <v>94</v>
      </c>
      <c r="I23" s="55" t="s">
        <v>114</v>
      </c>
    </row>
    <row r="24" spans="1:9" s="18" customFormat="1" ht="30" customHeight="1" x14ac:dyDescent="0.25">
      <c r="A24" s="54" t="s">
        <v>121</v>
      </c>
      <c r="B24" s="27" t="s">
        <v>42</v>
      </c>
      <c r="C24" s="39" t="s">
        <v>113</v>
      </c>
      <c r="D24" s="26">
        <v>20</v>
      </c>
      <c r="E24" s="44">
        <v>160</v>
      </c>
      <c r="F24" s="25">
        <v>8</v>
      </c>
      <c r="G24" s="34" t="s">
        <v>117</v>
      </c>
      <c r="H24" s="51" t="s">
        <v>94</v>
      </c>
      <c r="I24" s="55" t="s">
        <v>114</v>
      </c>
    </row>
    <row r="25" spans="1:9" s="18" customFormat="1" ht="30" customHeight="1" x14ac:dyDescent="0.25">
      <c r="A25" s="54" t="s">
        <v>122</v>
      </c>
      <c r="B25" s="27" t="s">
        <v>42</v>
      </c>
      <c r="C25" s="39" t="s">
        <v>113</v>
      </c>
      <c r="D25" s="26">
        <v>20</v>
      </c>
      <c r="E25" s="44">
        <v>200</v>
      </c>
      <c r="F25" s="25">
        <v>10</v>
      </c>
      <c r="G25" s="34" t="s">
        <v>117</v>
      </c>
      <c r="H25" s="51" t="s">
        <v>100</v>
      </c>
      <c r="I25" s="55" t="s">
        <v>114</v>
      </c>
    </row>
    <row r="26" spans="1:9" s="18" customFormat="1" ht="30" customHeight="1" x14ac:dyDescent="0.25">
      <c r="A26" s="54" t="s">
        <v>123</v>
      </c>
      <c r="B26" s="27" t="s">
        <v>42</v>
      </c>
      <c r="C26" s="39" t="s">
        <v>113</v>
      </c>
      <c r="D26" s="26">
        <v>20</v>
      </c>
      <c r="E26" s="44">
        <v>240</v>
      </c>
      <c r="F26" s="25">
        <v>12</v>
      </c>
      <c r="G26" s="34" t="s">
        <v>117</v>
      </c>
      <c r="H26" s="51" t="s">
        <v>100</v>
      </c>
      <c r="I26" s="55" t="s">
        <v>114</v>
      </c>
    </row>
    <row r="27" spans="1:9" s="18" customFormat="1" ht="30" customHeight="1" x14ac:dyDescent="0.25">
      <c r="A27" s="54" t="s">
        <v>124</v>
      </c>
      <c r="B27" s="27" t="s">
        <v>42</v>
      </c>
      <c r="C27" s="39" t="s">
        <v>113</v>
      </c>
      <c r="D27" s="26">
        <v>20</v>
      </c>
      <c r="E27" s="44">
        <v>300</v>
      </c>
      <c r="F27" s="25">
        <v>15</v>
      </c>
      <c r="G27" s="34" t="s">
        <v>117</v>
      </c>
      <c r="H27" s="51" t="s">
        <v>100</v>
      </c>
      <c r="I27" s="55" t="s">
        <v>114</v>
      </c>
    </row>
    <row r="28" spans="1:9" s="18" customFormat="1" ht="30" customHeight="1" x14ac:dyDescent="0.25">
      <c r="A28" s="54" t="s">
        <v>125</v>
      </c>
      <c r="B28" s="27" t="s">
        <v>42</v>
      </c>
      <c r="C28" s="39" t="s">
        <v>113</v>
      </c>
      <c r="D28" s="26">
        <v>20</v>
      </c>
      <c r="E28" s="44">
        <v>360</v>
      </c>
      <c r="F28" s="25">
        <v>18</v>
      </c>
      <c r="G28" s="34" t="s">
        <v>117</v>
      </c>
      <c r="H28" s="51" t="s">
        <v>100</v>
      </c>
      <c r="I28" s="55" t="s">
        <v>114</v>
      </c>
    </row>
    <row r="29" spans="1:9" s="18" customFormat="1" ht="30" customHeight="1" x14ac:dyDescent="0.25">
      <c r="A29" s="54" t="s">
        <v>126</v>
      </c>
      <c r="B29" s="27" t="s">
        <v>42</v>
      </c>
      <c r="C29" s="39" t="s">
        <v>113</v>
      </c>
      <c r="D29" s="26">
        <v>20</v>
      </c>
      <c r="E29" s="44">
        <v>400</v>
      </c>
      <c r="F29" s="25">
        <v>20</v>
      </c>
      <c r="G29" s="34" t="s">
        <v>117</v>
      </c>
      <c r="H29" s="51" t="s">
        <v>105</v>
      </c>
      <c r="I29" s="55" t="s">
        <v>114</v>
      </c>
    </row>
    <row r="30" spans="1:9" s="18" customFormat="1" ht="30" customHeight="1" x14ac:dyDescent="0.25">
      <c r="A30" s="54" t="s">
        <v>127</v>
      </c>
      <c r="B30" s="27" t="s">
        <v>42</v>
      </c>
      <c r="C30" s="39" t="s">
        <v>113</v>
      </c>
      <c r="D30" s="26">
        <v>20</v>
      </c>
      <c r="E30" s="44">
        <v>480</v>
      </c>
      <c r="F30" s="25">
        <v>24</v>
      </c>
      <c r="G30" s="34" t="s">
        <v>117</v>
      </c>
      <c r="H30" s="51" t="s">
        <v>105</v>
      </c>
      <c r="I30" s="55" t="s">
        <v>114</v>
      </c>
    </row>
    <row r="31" spans="1:9" s="18" customFormat="1" ht="30" customHeight="1" x14ac:dyDescent="0.25">
      <c r="A31" s="54" t="s">
        <v>128</v>
      </c>
      <c r="B31" s="27" t="s">
        <v>42</v>
      </c>
      <c r="C31" s="39" t="s">
        <v>113</v>
      </c>
      <c r="D31" s="26">
        <v>20</v>
      </c>
      <c r="E31" s="44">
        <v>500</v>
      </c>
      <c r="F31" s="25">
        <v>25</v>
      </c>
      <c r="G31" s="34" t="s">
        <v>117</v>
      </c>
      <c r="H31" s="51" t="s">
        <v>105</v>
      </c>
      <c r="I31" s="55" t="s">
        <v>114</v>
      </c>
    </row>
    <row r="32" spans="1:9" s="18" customFormat="1" ht="30" customHeight="1" x14ac:dyDescent="0.25">
      <c r="A32" s="54" t="s">
        <v>129</v>
      </c>
      <c r="B32" s="27" t="s">
        <v>42</v>
      </c>
      <c r="C32" s="39" t="s">
        <v>113</v>
      </c>
      <c r="D32" s="26">
        <v>20</v>
      </c>
      <c r="E32" s="44">
        <v>640</v>
      </c>
      <c r="F32" s="25">
        <v>32</v>
      </c>
      <c r="G32" s="34" t="s">
        <v>117</v>
      </c>
      <c r="H32" s="51" t="s">
        <v>110</v>
      </c>
      <c r="I32" s="55" t="s">
        <v>114</v>
      </c>
    </row>
    <row r="33" spans="1:9" s="18" customFormat="1" ht="30" customHeight="1" x14ac:dyDescent="0.25">
      <c r="A33" s="54" t="s">
        <v>130</v>
      </c>
      <c r="B33" s="27" t="s">
        <v>42</v>
      </c>
      <c r="C33" s="39" t="s">
        <v>113</v>
      </c>
      <c r="D33" s="26">
        <v>20</v>
      </c>
      <c r="E33" s="44">
        <v>700</v>
      </c>
      <c r="F33" s="25">
        <v>35</v>
      </c>
      <c r="G33" s="34" t="s">
        <v>117</v>
      </c>
      <c r="H33" s="51" t="s">
        <v>110</v>
      </c>
      <c r="I33" s="55" t="s">
        <v>114</v>
      </c>
    </row>
    <row r="34" spans="1:9" ht="30" customHeight="1" x14ac:dyDescent="0.25">
      <c r="A34" s="29" t="s">
        <v>131</v>
      </c>
      <c r="B34" s="15" t="s">
        <v>49</v>
      </c>
      <c r="C34" s="39" t="s">
        <v>132</v>
      </c>
      <c r="D34" s="37">
        <v>20</v>
      </c>
      <c r="E34" s="44">
        <v>300</v>
      </c>
      <c r="F34" s="33">
        <v>15</v>
      </c>
      <c r="G34" s="34" t="s">
        <v>93</v>
      </c>
      <c r="H34" s="35" t="s">
        <v>100</v>
      </c>
      <c r="I34" s="38" t="s">
        <v>114</v>
      </c>
    </row>
    <row r="35" spans="1:9" ht="30" customHeight="1" x14ac:dyDescent="0.25">
      <c r="A35" s="29" t="s">
        <v>133</v>
      </c>
      <c r="B35" s="15" t="s">
        <v>49</v>
      </c>
      <c r="C35" s="39" t="s">
        <v>132</v>
      </c>
      <c r="D35" s="37">
        <v>20</v>
      </c>
      <c r="E35" s="44">
        <v>500</v>
      </c>
      <c r="F35" s="33">
        <v>25</v>
      </c>
      <c r="G35" s="34" t="s">
        <v>93</v>
      </c>
      <c r="H35" s="35" t="s">
        <v>105</v>
      </c>
      <c r="I35" s="38" t="s">
        <v>114</v>
      </c>
    </row>
    <row r="36" spans="1:9" ht="30" customHeight="1" x14ac:dyDescent="0.25">
      <c r="A36" s="29" t="s">
        <v>134</v>
      </c>
      <c r="B36" s="15" t="s">
        <v>52</v>
      </c>
      <c r="C36" s="39" t="s">
        <v>135</v>
      </c>
      <c r="D36" s="32">
        <v>5</v>
      </c>
      <c r="E36" s="44">
        <v>400</v>
      </c>
      <c r="F36" s="33">
        <v>80</v>
      </c>
      <c r="G36" s="34" t="s">
        <v>93</v>
      </c>
      <c r="H36" s="35"/>
      <c r="I36" s="38" t="s">
        <v>114</v>
      </c>
    </row>
    <row r="37" spans="1:9" ht="30" customHeight="1" x14ac:dyDescent="0.25">
      <c r="A37" s="29" t="s">
        <v>136</v>
      </c>
      <c r="B37" s="15" t="s">
        <v>52</v>
      </c>
      <c r="C37" s="39" t="s">
        <v>135</v>
      </c>
      <c r="D37" s="32">
        <v>5</v>
      </c>
      <c r="E37" s="44">
        <v>500</v>
      </c>
      <c r="F37" s="33">
        <v>100</v>
      </c>
      <c r="G37" s="34" t="s">
        <v>137</v>
      </c>
      <c r="H37" s="35"/>
      <c r="I37" s="38" t="s">
        <v>114</v>
      </c>
    </row>
    <row r="38" spans="1:9" ht="30" customHeight="1" x14ac:dyDescent="0.25">
      <c r="A38" s="29" t="s">
        <v>138</v>
      </c>
      <c r="B38" s="15" t="s">
        <v>63</v>
      </c>
      <c r="C38" s="31" t="s">
        <v>139</v>
      </c>
      <c r="D38" s="32">
        <v>10</v>
      </c>
      <c r="E38" s="44">
        <v>20</v>
      </c>
      <c r="F38" s="33">
        <v>2</v>
      </c>
      <c r="G38" s="39">
        <v>0.5</v>
      </c>
      <c r="H38" s="52"/>
      <c r="I38" s="36" t="s">
        <v>140</v>
      </c>
    </row>
    <row r="39" spans="1:9" ht="30" customHeight="1" x14ac:dyDescent="0.25">
      <c r="A39" s="29" t="s">
        <v>141</v>
      </c>
      <c r="B39" s="15" t="s">
        <v>63</v>
      </c>
      <c r="C39" s="31" t="s">
        <v>139</v>
      </c>
      <c r="D39" s="32">
        <v>10</v>
      </c>
      <c r="E39" s="44">
        <v>40</v>
      </c>
      <c r="F39" s="33">
        <v>4</v>
      </c>
      <c r="G39" s="39" t="s">
        <v>137</v>
      </c>
      <c r="H39" s="35" t="s">
        <v>142</v>
      </c>
      <c r="I39" s="36" t="s">
        <v>140</v>
      </c>
    </row>
    <row r="40" spans="1:9" ht="30" customHeight="1" x14ac:dyDescent="0.25">
      <c r="A40" s="29" t="s">
        <v>143</v>
      </c>
      <c r="B40" s="15" t="s">
        <v>63</v>
      </c>
      <c r="C40" s="31" t="s">
        <v>139</v>
      </c>
      <c r="D40" s="32">
        <v>10</v>
      </c>
      <c r="E40" s="44">
        <v>60</v>
      </c>
      <c r="F40" s="33">
        <v>6</v>
      </c>
      <c r="G40" s="39" t="s">
        <v>137</v>
      </c>
      <c r="H40" s="35" t="s">
        <v>142</v>
      </c>
      <c r="I40" s="36" t="s">
        <v>140</v>
      </c>
    </row>
    <row r="41" spans="1:9" ht="30" customHeight="1" x14ac:dyDescent="0.25">
      <c r="A41" s="29" t="s">
        <v>144</v>
      </c>
      <c r="B41" s="15" t="s">
        <v>63</v>
      </c>
      <c r="C41" s="31" t="s">
        <v>139</v>
      </c>
      <c r="D41" s="32">
        <v>10</v>
      </c>
      <c r="E41" s="44">
        <v>100</v>
      </c>
      <c r="F41" s="33">
        <v>10</v>
      </c>
      <c r="G41" s="34" t="s">
        <v>93</v>
      </c>
      <c r="H41" s="35" t="s">
        <v>145</v>
      </c>
      <c r="I41" s="36" t="s">
        <v>140</v>
      </c>
    </row>
    <row r="42" spans="1:9" ht="30" customHeight="1" x14ac:dyDescent="0.25">
      <c r="A42" s="29" t="s">
        <v>146</v>
      </c>
      <c r="B42" s="15" t="s">
        <v>63</v>
      </c>
      <c r="C42" s="31" t="s">
        <v>139</v>
      </c>
      <c r="D42" s="32">
        <v>10</v>
      </c>
      <c r="E42" s="44">
        <v>300</v>
      </c>
      <c r="F42" s="33">
        <v>30</v>
      </c>
      <c r="G42" s="34" t="s">
        <v>93</v>
      </c>
      <c r="H42" s="35" t="s">
        <v>147</v>
      </c>
      <c r="I42" s="36" t="s">
        <v>140</v>
      </c>
    </row>
    <row r="43" spans="1:9" ht="30" customHeight="1" x14ac:dyDescent="0.25">
      <c r="A43" s="29" t="s">
        <v>148</v>
      </c>
      <c r="B43" s="15" t="s">
        <v>63</v>
      </c>
      <c r="C43" s="31" t="s">
        <v>139</v>
      </c>
      <c r="D43" s="32">
        <v>10</v>
      </c>
      <c r="E43" s="44">
        <v>480</v>
      </c>
      <c r="F43" s="33">
        <v>48</v>
      </c>
      <c r="G43" s="34" t="s">
        <v>93</v>
      </c>
      <c r="H43" s="35" t="s">
        <v>149</v>
      </c>
      <c r="I43" s="36" t="s">
        <v>140</v>
      </c>
    </row>
    <row r="44" spans="1:9" ht="30" customHeight="1" x14ac:dyDescent="0.25">
      <c r="A44" s="29" t="s">
        <v>150</v>
      </c>
      <c r="B44" s="15" t="s">
        <v>63</v>
      </c>
      <c r="C44" s="31" t="s">
        <v>139</v>
      </c>
      <c r="D44" s="32">
        <v>10</v>
      </c>
      <c r="E44" s="45">
        <v>500</v>
      </c>
      <c r="F44" s="33">
        <v>50</v>
      </c>
      <c r="G44" s="34" t="s">
        <v>93</v>
      </c>
      <c r="H44" s="35" t="s">
        <v>151</v>
      </c>
      <c r="I44" s="36" t="s">
        <v>140</v>
      </c>
    </row>
    <row r="45" spans="1:9" ht="30" customHeight="1" x14ac:dyDescent="0.25">
      <c r="A45" s="29" t="s">
        <v>152</v>
      </c>
      <c r="B45" s="30" t="s">
        <v>153</v>
      </c>
      <c r="C45" s="31" t="s">
        <v>154</v>
      </c>
      <c r="D45" s="32">
        <v>1</v>
      </c>
      <c r="E45" s="46">
        <v>24</v>
      </c>
      <c r="F45" s="33">
        <v>24</v>
      </c>
      <c r="G45" s="39"/>
      <c r="H45" s="35"/>
      <c r="I45" s="36" t="s">
        <v>155</v>
      </c>
    </row>
    <row r="46" spans="1:9" ht="30" customHeight="1" x14ac:dyDescent="0.25">
      <c r="A46" s="29" t="s">
        <v>156</v>
      </c>
      <c r="B46" s="30" t="s">
        <v>153</v>
      </c>
      <c r="C46" s="31" t="s">
        <v>154</v>
      </c>
      <c r="D46" s="32">
        <v>1</v>
      </c>
      <c r="E46" s="46">
        <v>60</v>
      </c>
      <c r="F46" s="33">
        <v>60</v>
      </c>
      <c r="G46" s="34" t="s">
        <v>93</v>
      </c>
      <c r="H46" s="52"/>
      <c r="I46" s="36" t="s">
        <v>155</v>
      </c>
    </row>
    <row r="47" spans="1:9" ht="30" customHeight="1" x14ac:dyDescent="0.25">
      <c r="A47" s="29" t="s">
        <v>157</v>
      </c>
      <c r="B47" s="30" t="s">
        <v>153</v>
      </c>
      <c r="C47" s="31" t="s">
        <v>154</v>
      </c>
      <c r="D47" s="32">
        <v>1</v>
      </c>
      <c r="E47" s="46">
        <v>96</v>
      </c>
      <c r="F47" s="33">
        <v>96</v>
      </c>
      <c r="G47" s="34" t="s">
        <v>93</v>
      </c>
      <c r="H47" s="35"/>
      <c r="I47" s="36" t="s">
        <v>155</v>
      </c>
    </row>
    <row r="48" spans="1:9" ht="30" customHeight="1" x14ac:dyDescent="0.25">
      <c r="A48" s="29" t="s">
        <v>158</v>
      </c>
      <c r="B48" s="30" t="s">
        <v>43</v>
      </c>
      <c r="C48" s="31" t="s">
        <v>159</v>
      </c>
      <c r="D48" s="32">
        <v>10</v>
      </c>
      <c r="E48" s="46">
        <v>150</v>
      </c>
      <c r="F48" s="33">
        <v>15</v>
      </c>
      <c r="G48" s="34" t="s">
        <v>93</v>
      </c>
      <c r="H48" s="52"/>
      <c r="I48" s="38" t="s">
        <v>160</v>
      </c>
    </row>
    <row r="49" spans="1:9" ht="30" customHeight="1" x14ac:dyDescent="0.25">
      <c r="A49" s="29" t="s">
        <v>161</v>
      </c>
      <c r="B49" s="30" t="s">
        <v>43</v>
      </c>
      <c r="C49" s="31" t="s">
        <v>159</v>
      </c>
      <c r="D49" s="32">
        <v>10</v>
      </c>
      <c r="E49" s="46">
        <v>300</v>
      </c>
      <c r="F49" s="33">
        <v>30</v>
      </c>
      <c r="G49" s="34" t="s">
        <v>93</v>
      </c>
      <c r="H49" s="52"/>
      <c r="I49" s="38" t="s">
        <v>160</v>
      </c>
    </row>
    <row r="50" spans="1:9" ht="30" customHeight="1" x14ac:dyDescent="0.25">
      <c r="A50" s="29" t="s">
        <v>162</v>
      </c>
      <c r="B50" s="30" t="s">
        <v>43</v>
      </c>
      <c r="C50" s="31" t="s">
        <v>159</v>
      </c>
      <c r="D50" s="32">
        <v>10</v>
      </c>
      <c r="E50" s="46">
        <v>500</v>
      </c>
      <c r="F50" s="33">
        <v>50</v>
      </c>
      <c r="G50" s="34" t="s">
        <v>93</v>
      </c>
      <c r="H50" s="35"/>
      <c r="I50" s="38" t="s">
        <v>160</v>
      </c>
    </row>
    <row r="51" spans="1:9" ht="30" customHeight="1" x14ac:dyDescent="0.25">
      <c r="A51" s="29" t="s">
        <v>163</v>
      </c>
      <c r="B51" s="30" t="s">
        <v>34</v>
      </c>
      <c r="C51" s="31" t="s">
        <v>164</v>
      </c>
      <c r="D51" s="32">
        <v>18</v>
      </c>
      <c r="E51" s="46">
        <v>560</v>
      </c>
      <c r="F51" s="33">
        <v>31.111111111111111</v>
      </c>
      <c r="G51" s="34" t="s">
        <v>93</v>
      </c>
      <c r="H51" s="35" t="s">
        <v>165</v>
      </c>
      <c r="I51" s="36" t="s">
        <v>166</v>
      </c>
    </row>
    <row r="52" spans="1:9" ht="30" customHeight="1" x14ac:dyDescent="0.25">
      <c r="A52" s="29" t="s">
        <v>167</v>
      </c>
      <c r="B52" s="30" t="s">
        <v>32</v>
      </c>
      <c r="C52" s="31" t="s">
        <v>168</v>
      </c>
      <c r="D52" s="32">
        <v>20</v>
      </c>
      <c r="E52" s="46">
        <v>20</v>
      </c>
      <c r="F52" s="33">
        <v>1</v>
      </c>
      <c r="G52" s="34" t="s">
        <v>93</v>
      </c>
      <c r="H52" s="35" t="s">
        <v>89</v>
      </c>
      <c r="I52" s="36" t="s">
        <v>169</v>
      </c>
    </row>
    <row r="53" spans="1:9" ht="30" customHeight="1" x14ac:dyDescent="0.25">
      <c r="A53" s="29" t="s">
        <v>170</v>
      </c>
      <c r="B53" s="30" t="s">
        <v>32</v>
      </c>
      <c r="C53" s="31" t="s">
        <v>168</v>
      </c>
      <c r="D53" s="32">
        <v>20</v>
      </c>
      <c r="E53" s="46">
        <v>100</v>
      </c>
      <c r="F53" s="33">
        <v>5</v>
      </c>
      <c r="G53" s="34" t="s">
        <v>93</v>
      </c>
      <c r="H53" s="35" t="s">
        <v>94</v>
      </c>
      <c r="I53" s="36" t="s">
        <v>169</v>
      </c>
    </row>
    <row r="54" spans="1:9" ht="30" customHeight="1" x14ac:dyDescent="0.25">
      <c r="A54" s="29" t="s">
        <v>171</v>
      </c>
      <c r="B54" s="30" t="s">
        <v>32</v>
      </c>
      <c r="C54" s="31" t="s">
        <v>168</v>
      </c>
      <c r="D54" s="32">
        <v>20</v>
      </c>
      <c r="E54" s="45">
        <v>500</v>
      </c>
      <c r="F54" s="33">
        <v>25</v>
      </c>
      <c r="G54" s="34" t="s">
        <v>93</v>
      </c>
      <c r="H54" s="35" t="s">
        <v>165</v>
      </c>
      <c r="I54" s="36" t="s">
        <v>169</v>
      </c>
    </row>
    <row r="55" spans="1:9" ht="30" customHeight="1" x14ac:dyDescent="0.25">
      <c r="A55" s="29" t="s">
        <v>172</v>
      </c>
      <c r="B55" s="30" t="s">
        <v>32</v>
      </c>
      <c r="C55" s="31" t="s">
        <v>168</v>
      </c>
      <c r="D55" s="32">
        <v>20</v>
      </c>
      <c r="E55" s="46">
        <v>720</v>
      </c>
      <c r="F55" s="33">
        <v>36</v>
      </c>
      <c r="G55" s="34" t="s">
        <v>93</v>
      </c>
      <c r="H55" s="35" t="s">
        <v>173</v>
      </c>
      <c r="I55" s="36" t="s">
        <v>169</v>
      </c>
    </row>
    <row r="56" spans="1:9" ht="30" customHeight="1" x14ac:dyDescent="0.25">
      <c r="A56" s="29" t="s">
        <v>174</v>
      </c>
      <c r="B56" s="30" t="s">
        <v>175</v>
      </c>
      <c r="C56" s="31" t="s">
        <v>176</v>
      </c>
      <c r="D56" s="32">
        <v>20</v>
      </c>
      <c r="E56" s="46">
        <v>640</v>
      </c>
      <c r="F56" s="33">
        <v>32</v>
      </c>
      <c r="G56" s="34" t="s">
        <v>93</v>
      </c>
      <c r="H56" s="35" t="s">
        <v>177</v>
      </c>
      <c r="I56" s="36" t="s">
        <v>33</v>
      </c>
    </row>
    <row r="57" spans="1:9" ht="30" customHeight="1" x14ac:dyDescent="0.25">
      <c r="A57" s="29" t="s">
        <v>178</v>
      </c>
      <c r="B57" s="30" t="s">
        <v>44</v>
      </c>
      <c r="C57" s="31" t="s">
        <v>179</v>
      </c>
      <c r="D57" s="32">
        <v>18</v>
      </c>
      <c r="E57" s="46">
        <v>576</v>
      </c>
      <c r="F57" s="33">
        <v>32</v>
      </c>
      <c r="G57" s="34" t="s">
        <v>93</v>
      </c>
      <c r="H57" s="35" t="s">
        <v>177</v>
      </c>
      <c r="I57" s="36" t="s">
        <v>166</v>
      </c>
    </row>
    <row r="58" spans="1:9" ht="30" customHeight="1" x14ac:dyDescent="0.25">
      <c r="A58" s="29" t="s">
        <v>180</v>
      </c>
      <c r="B58" s="30" t="s">
        <v>181</v>
      </c>
      <c r="C58" s="31" t="s">
        <v>182</v>
      </c>
      <c r="D58" s="32">
        <v>15</v>
      </c>
      <c r="E58" s="46">
        <v>480</v>
      </c>
      <c r="F58" s="33">
        <v>32</v>
      </c>
      <c r="G58" s="34" t="s">
        <v>93</v>
      </c>
      <c r="H58" s="35" t="s">
        <v>177</v>
      </c>
      <c r="I58" s="36" t="s">
        <v>183</v>
      </c>
    </row>
    <row r="59" spans="1:9" ht="30.6" customHeight="1" x14ac:dyDescent="0.25">
      <c r="A59" s="29" t="s">
        <v>184</v>
      </c>
      <c r="B59" s="30" t="s">
        <v>37</v>
      </c>
      <c r="C59" s="31" t="s">
        <v>176</v>
      </c>
      <c r="D59" s="37">
        <v>20</v>
      </c>
      <c r="E59" s="46">
        <v>40</v>
      </c>
      <c r="F59" s="33">
        <v>2</v>
      </c>
      <c r="G59" s="34" t="s">
        <v>88</v>
      </c>
      <c r="H59" s="35"/>
      <c r="I59" s="38" t="s">
        <v>185</v>
      </c>
    </row>
    <row r="60" spans="1:9" ht="30" customHeight="1" x14ac:dyDescent="0.25">
      <c r="A60" s="29" t="s">
        <v>186</v>
      </c>
      <c r="B60" s="30" t="s">
        <v>37</v>
      </c>
      <c r="C60" s="31" t="s">
        <v>176</v>
      </c>
      <c r="D60" s="37">
        <v>20</v>
      </c>
      <c r="E60" s="45">
        <v>60</v>
      </c>
      <c r="F60" s="33">
        <v>3</v>
      </c>
      <c r="G60" s="34" t="s">
        <v>93</v>
      </c>
      <c r="H60" s="35" t="s">
        <v>94</v>
      </c>
      <c r="I60" s="38" t="s">
        <v>185</v>
      </c>
    </row>
    <row r="61" spans="1:9" ht="30" customHeight="1" x14ac:dyDescent="0.25">
      <c r="A61" s="29" t="s">
        <v>187</v>
      </c>
      <c r="B61" s="30" t="s">
        <v>37</v>
      </c>
      <c r="C61" s="31" t="s">
        <v>176</v>
      </c>
      <c r="D61" s="37">
        <v>20</v>
      </c>
      <c r="E61" s="46">
        <v>80</v>
      </c>
      <c r="F61" s="33">
        <v>4</v>
      </c>
      <c r="G61" s="34" t="s">
        <v>93</v>
      </c>
      <c r="H61" s="35" t="s">
        <v>94</v>
      </c>
      <c r="I61" s="38" t="s">
        <v>185</v>
      </c>
    </row>
    <row r="62" spans="1:9" ht="30" customHeight="1" x14ac:dyDescent="0.25">
      <c r="A62" s="29" t="s">
        <v>188</v>
      </c>
      <c r="B62" s="30" t="s">
        <v>37</v>
      </c>
      <c r="C62" s="31" t="s">
        <v>176</v>
      </c>
      <c r="D62" s="37">
        <v>20</v>
      </c>
      <c r="E62" s="46">
        <v>100</v>
      </c>
      <c r="F62" s="33">
        <v>5</v>
      </c>
      <c r="G62" s="34" t="s">
        <v>93</v>
      </c>
      <c r="H62" s="35" t="s">
        <v>94</v>
      </c>
      <c r="I62" s="38" t="s">
        <v>185</v>
      </c>
    </row>
    <row r="63" spans="1:9" ht="30" customHeight="1" x14ac:dyDescent="0.25">
      <c r="A63" s="29" t="s">
        <v>189</v>
      </c>
      <c r="B63" s="30" t="s">
        <v>37</v>
      </c>
      <c r="C63" s="31" t="s">
        <v>176</v>
      </c>
      <c r="D63" s="37">
        <v>20</v>
      </c>
      <c r="E63" s="46">
        <v>120</v>
      </c>
      <c r="F63" s="33">
        <v>6</v>
      </c>
      <c r="G63" s="34" t="s">
        <v>93</v>
      </c>
      <c r="H63" s="35" t="s">
        <v>94</v>
      </c>
      <c r="I63" s="38" t="s">
        <v>185</v>
      </c>
    </row>
    <row r="64" spans="1:9" ht="30" customHeight="1" x14ac:dyDescent="0.25">
      <c r="A64" s="29" t="s">
        <v>190</v>
      </c>
      <c r="B64" s="30" t="s">
        <v>37</v>
      </c>
      <c r="C64" s="31" t="s">
        <v>176</v>
      </c>
      <c r="D64" s="37">
        <v>20</v>
      </c>
      <c r="E64" s="46">
        <v>140</v>
      </c>
      <c r="F64" s="33">
        <v>7</v>
      </c>
      <c r="G64" s="34" t="s">
        <v>93</v>
      </c>
      <c r="H64" s="35" t="s">
        <v>94</v>
      </c>
      <c r="I64" s="38" t="s">
        <v>185</v>
      </c>
    </row>
    <row r="65" spans="1:9" ht="30" customHeight="1" x14ac:dyDescent="0.25">
      <c r="A65" s="29" t="s">
        <v>191</v>
      </c>
      <c r="B65" s="30" t="s">
        <v>37</v>
      </c>
      <c r="C65" s="31" t="s">
        <v>176</v>
      </c>
      <c r="D65" s="37">
        <v>20</v>
      </c>
      <c r="E65" s="46">
        <v>160</v>
      </c>
      <c r="F65" s="33">
        <v>8</v>
      </c>
      <c r="G65" s="34" t="s">
        <v>93</v>
      </c>
      <c r="H65" s="35" t="s">
        <v>94</v>
      </c>
      <c r="I65" s="38" t="s">
        <v>185</v>
      </c>
    </row>
    <row r="66" spans="1:9" ht="30" customHeight="1" x14ac:dyDescent="0.25">
      <c r="A66" s="29" t="s">
        <v>192</v>
      </c>
      <c r="B66" s="30" t="s">
        <v>37</v>
      </c>
      <c r="C66" s="31" t="s">
        <v>176</v>
      </c>
      <c r="D66" s="37">
        <v>20</v>
      </c>
      <c r="E66" s="46">
        <v>180</v>
      </c>
      <c r="F66" s="33">
        <v>9</v>
      </c>
      <c r="G66" s="34" t="s">
        <v>93</v>
      </c>
      <c r="H66" s="35" t="s">
        <v>100</v>
      </c>
      <c r="I66" s="38" t="s">
        <v>185</v>
      </c>
    </row>
    <row r="67" spans="1:9" ht="30" customHeight="1" x14ac:dyDescent="0.25">
      <c r="A67" s="29" t="s">
        <v>193</v>
      </c>
      <c r="B67" s="30" t="s">
        <v>37</v>
      </c>
      <c r="C67" s="31" t="s">
        <v>176</v>
      </c>
      <c r="D67" s="37">
        <v>20</v>
      </c>
      <c r="E67" s="46">
        <v>200</v>
      </c>
      <c r="F67" s="33">
        <v>10</v>
      </c>
      <c r="G67" s="34" t="s">
        <v>93</v>
      </c>
      <c r="H67" s="35" t="s">
        <v>100</v>
      </c>
      <c r="I67" s="38" t="s">
        <v>185</v>
      </c>
    </row>
    <row r="68" spans="1:9" ht="30" customHeight="1" x14ac:dyDescent="0.25">
      <c r="A68" s="29" t="s">
        <v>194</v>
      </c>
      <c r="B68" s="30" t="s">
        <v>37</v>
      </c>
      <c r="C68" s="31" t="s">
        <v>176</v>
      </c>
      <c r="D68" s="37">
        <v>20</v>
      </c>
      <c r="E68" s="46">
        <v>240</v>
      </c>
      <c r="F68" s="33">
        <v>12</v>
      </c>
      <c r="G68" s="34" t="s">
        <v>93</v>
      </c>
      <c r="H68" s="35" t="s">
        <v>100</v>
      </c>
      <c r="I68" s="38" t="s">
        <v>185</v>
      </c>
    </row>
    <row r="69" spans="1:9" ht="30" customHeight="1" x14ac:dyDescent="0.25">
      <c r="A69" s="29" t="s">
        <v>195</v>
      </c>
      <c r="B69" s="30" t="s">
        <v>37</v>
      </c>
      <c r="C69" s="31" t="s">
        <v>176</v>
      </c>
      <c r="D69" s="37">
        <v>20</v>
      </c>
      <c r="E69" s="45">
        <v>260</v>
      </c>
      <c r="F69" s="33">
        <v>13</v>
      </c>
      <c r="G69" s="34" t="s">
        <v>93</v>
      </c>
      <c r="H69" s="35" t="s">
        <v>100</v>
      </c>
      <c r="I69" s="38" t="s">
        <v>185</v>
      </c>
    </row>
    <row r="70" spans="1:9" ht="30" customHeight="1" x14ac:dyDescent="0.25">
      <c r="A70" s="29" t="s">
        <v>196</v>
      </c>
      <c r="B70" s="30" t="s">
        <v>37</v>
      </c>
      <c r="C70" s="31" t="s">
        <v>176</v>
      </c>
      <c r="D70" s="37">
        <v>20</v>
      </c>
      <c r="E70" s="46">
        <v>320</v>
      </c>
      <c r="F70" s="33">
        <v>16</v>
      </c>
      <c r="G70" s="34" t="s">
        <v>93</v>
      </c>
      <c r="H70" s="35" t="s">
        <v>100</v>
      </c>
      <c r="I70" s="38" t="s">
        <v>185</v>
      </c>
    </row>
    <row r="71" spans="1:9" ht="30" customHeight="1" x14ac:dyDescent="0.25">
      <c r="A71" s="29" t="s">
        <v>197</v>
      </c>
      <c r="B71" s="30" t="s">
        <v>37</v>
      </c>
      <c r="C71" s="31" t="s">
        <v>176</v>
      </c>
      <c r="D71" s="37">
        <v>20</v>
      </c>
      <c r="E71" s="46">
        <v>420</v>
      </c>
      <c r="F71" s="33">
        <v>21</v>
      </c>
      <c r="G71" s="34" t="s">
        <v>93</v>
      </c>
      <c r="H71" s="35" t="s">
        <v>105</v>
      </c>
      <c r="I71" s="38" t="s">
        <v>185</v>
      </c>
    </row>
    <row r="72" spans="1:9" ht="30" customHeight="1" x14ac:dyDescent="0.25">
      <c r="A72" s="29" t="s">
        <v>198</v>
      </c>
      <c r="B72" s="30" t="s">
        <v>37</v>
      </c>
      <c r="C72" s="31" t="s">
        <v>176</v>
      </c>
      <c r="D72" s="37">
        <v>20</v>
      </c>
      <c r="E72" s="46">
        <v>480</v>
      </c>
      <c r="F72" s="33">
        <v>24</v>
      </c>
      <c r="G72" s="34" t="s">
        <v>93</v>
      </c>
      <c r="H72" s="35" t="s">
        <v>105</v>
      </c>
      <c r="I72" s="38" t="s">
        <v>185</v>
      </c>
    </row>
    <row r="73" spans="1:9" ht="30" customHeight="1" x14ac:dyDescent="0.25">
      <c r="A73" s="29" t="s">
        <v>199</v>
      </c>
      <c r="B73" s="30" t="s">
        <v>37</v>
      </c>
      <c r="C73" s="31" t="s">
        <v>176</v>
      </c>
      <c r="D73" s="37">
        <v>20</v>
      </c>
      <c r="E73" s="46">
        <v>500</v>
      </c>
      <c r="F73" s="33">
        <v>25</v>
      </c>
      <c r="G73" s="34" t="s">
        <v>93</v>
      </c>
      <c r="H73" s="35" t="s">
        <v>105</v>
      </c>
      <c r="I73" s="38" t="s">
        <v>185</v>
      </c>
    </row>
    <row r="74" spans="1:9" ht="30" customHeight="1" x14ac:dyDescent="0.25">
      <c r="A74" s="29" t="s">
        <v>200</v>
      </c>
      <c r="B74" s="30" t="s">
        <v>37</v>
      </c>
      <c r="C74" s="31" t="s">
        <v>176</v>
      </c>
      <c r="D74" s="37">
        <v>20</v>
      </c>
      <c r="E74" s="46">
        <v>640</v>
      </c>
      <c r="F74" s="33">
        <v>32</v>
      </c>
      <c r="G74" s="34" t="s">
        <v>93</v>
      </c>
      <c r="H74" s="35" t="s">
        <v>201</v>
      </c>
      <c r="I74" s="38" t="s">
        <v>185</v>
      </c>
    </row>
    <row r="75" spans="1:9" ht="30" customHeight="1" x14ac:dyDescent="0.25">
      <c r="A75" s="29" t="s">
        <v>202</v>
      </c>
      <c r="B75" s="30" t="s">
        <v>39</v>
      </c>
      <c r="C75" s="31" t="s">
        <v>203</v>
      </c>
      <c r="D75" s="37">
        <v>20</v>
      </c>
      <c r="E75" s="46">
        <v>640</v>
      </c>
      <c r="F75" s="37">
        <v>32</v>
      </c>
      <c r="G75" s="34" t="s">
        <v>93</v>
      </c>
      <c r="H75" s="35" t="s">
        <v>201</v>
      </c>
      <c r="I75" s="36" t="s">
        <v>166</v>
      </c>
    </row>
    <row r="76" spans="1:9" ht="30" customHeight="1" x14ac:dyDescent="0.25">
      <c r="A76" s="29" t="s">
        <v>204</v>
      </c>
      <c r="B76" s="30" t="s">
        <v>205</v>
      </c>
      <c r="C76" s="31" t="s">
        <v>206</v>
      </c>
      <c r="D76" s="32">
        <v>3.2</v>
      </c>
      <c r="E76" s="46">
        <v>230.4</v>
      </c>
      <c r="F76" s="37">
        <v>72</v>
      </c>
      <c r="G76" s="34" t="s">
        <v>93</v>
      </c>
      <c r="H76" s="35" t="s">
        <v>105</v>
      </c>
      <c r="I76" s="38" t="s">
        <v>166</v>
      </c>
    </row>
    <row r="77" spans="1:9" ht="30" customHeight="1" x14ac:dyDescent="0.25">
      <c r="A77" s="29" t="s">
        <v>207</v>
      </c>
      <c r="B77" s="30" t="s">
        <v>29</v>
      </c>
      <c r="C77" s="31" t="s">
        <v>208</v>
      </c>
      <c r="D77" s="32">
        <v>24</v>
      </c>
      <c r="E77" s="46">
        <v>48</v>
      </c>
      <c r="F77" s="37">
        <v>2</v>
      </c>
      <c r="G77" s="34" t="s">
        <v>209</v>
      </c>
      <c r="H77" s="35" t="s">
        <v>210</v>
      </c>
      <c r="I77" s="36" t="s">
        <v>211</v>
      </c>
    </row>
    <row r="78" spans="1:9" ht="30" customHeight="1" x14ac:dyDescent="0.25">
      <c r="A78" s="29" t="s">
        <v>212</v>
      </c>
      <c r="B78" s="30" t="s">
        <v>29</v>
      </c>
      <c r="C78" s="31" t="s">
        <v>208</v>
      </c>
      <c r="D78" s="32">
        <v>24</v>
      </c>
      <c r="E78" s="46">
        <v>72</v>
      </c>
      <c r="F78" s="37">
        <v>3</v>
      </c>
      <c r="G78" s="34" t="s">
        <v>93</v>
      </c>
      <c r="H78" s="35" t="s">
        <v>94</v>
      </c>
      <c r="I78" s="36" t="s">
        <v>211</v>
      </c>
    </row>
    <row r="79" spans="1:9" ht="30" customHeight="1" x14ac:dyDescent="0.25">
      <c r="A79" s="29" t="s">
        <v>213</v>
      </c>
      <c r="B79" s="30" t="s">
        <v>29</v>
      </c>
      <c r="C79" s="31" t="s">
        <v>208</v>
      </c>
      <c r="D79" s="32">
        <v>24</v>
      </c>
      <c r="E79" s="46">
        <v>96</v>
      </c>
      <c r="F79" s="37">
        <v>4</v>
      </c>
      <c r="G79" s="34" t="s">
        <v>93</v>
      </c>
      <c r="H79" s="35" t="s">
        <v>94</v>
      </c>
      <c r="I79" s="36" t="s">
        <v>211</v>
      </c>
    </row>
    <row r="80" spans="1:9" ht="30" customHeight="1" x14ac:dyDescent="0.25">
      <c r="A80" s="29" t="s">
        <v>214</v>
      </c>
      <c r="B80" s="30" t="s">
        <v>29</v>
      </c>
      <c r="C80" s="31" t="s">
        <v>208</v>
      </c>
      <c r="D80" s="32">
        <v>24</v>
      </c>
      <c r="E80" s="46">
        <v>120</v>
      </c>
      <c r="F80" s="37">
        <v>5</v>
      </c>
      <c r="G80" s="34" t="s">
        <v>93</v>
      </c>
      <c r="H80" s="35" t="s">
        <v>94</v>
      </c>
      <c r="I80" s="36" t="s">
        <v>211</v>
      </c>
    </row>
    <row r="81" spans="1:9" ht="30" customHeight="1" x14ac:dyDescent="0.25">
      <c r="A81" s="29" t="s">
        <v>215</v>
      </c>
      <c r="B81" s="30" t="s">
        <v>29</v>
      </c>
      <c r="C81" s="31" t="s">
        <v>208</v>
      </c>
      <c r="D81" s="32">
        <v>24</v>
      </c>
      <c r="E81" s="46">
        <v>144</v>
      </c>
      <c r="F81" s="37">
        <v>6</v>
      </c>
      <c r="G81" s="34" t="s">
        <v>93</v>
      </c>
      <c r="H81" s="35" t="s">
        <v>94</v>
      </c>
      <c r="I81" s="36" t="s">
        <v>211</v>
      </c>
    </row>
    <row r="82" spans="1:9" ht="30.6" customHeight="1" x14ac:dyDescent="0.25">
      <c r="A82" s="29" t="s">
        <v>216</v>
      </c>
      <c r="B82" s="30" t="s">
        <v>29</v>
      </c>
      <c r="C82" s="31" t="s">
        <v>208</v>
      </c>
      <c r="D82" s="32">
        <v>24</v>
      </c>
      <c r="E82" s="46">
        <v>216</v>
      </c>
      <c r="F82" s="37">
        <v>9</v>
      </c>
      <c r="G82" s="34" t="s">
        <v>93</v>
      </c>
      <c r="H82" s="35" t="s">
        <v>100</v>
      </c>
      <c r="I82" s="36" t="s">
        <v>211</v>
      </c>
    </row>
    <row r="83" spans="1:9" ht="30" customHeight="1" x14ac:dyDescent="0.25">
      <c r="A83" s="29" t="s">
        <v>217</v>
      </c>
      <c r="B83" s="30" t="s">
        <v>29</v>
      </c>
      <c r="C83" s="31" t="s">
        <v>208</v>
      </c>
      <c r="D83" s="32">
        <v>24</v>
      </c>
      <c r="E83" s="46">
        <v>432</v>
      </c>
      <c r="F83" s="37">
        <v>18</v>
      </c>
      <c r="G83" s="34" t="s">
        <v>93</v>
      </c>
      <c r="H83" s="35" t="s">
        <v>105</v>
      </c>
      <c r="I83" s="36" t="s">
        <v>211</v>
      </c>
    </row>
    <row r="84" spans="1:9" ht="30" customHeight="1" x14ac:dyDescent="0.25">
      <c r="A84" s="29" t="s">
        <v>218</v>
      </c>
      <c r="B84" s="30" t="s">
        <v>29</v>
      </c>
      <c r="C84" s="31" t="s">
        <v>208</v>
      </c>
      <c r="D84" s="32">
        <v>24</v>
      </c>
      <c r="E84" s="46">
        <v>640</v>
      </c>
      <c r="F84" s="53">
        <v>26.666666666666668</v>
      </c>
      <c r="G84" s="34" t="s">
        <v>93</v>
      </c>
      <c r="H84" s="35" t="s">
        <v>219</v>
      </c>
      <c r="I84" s="36" t="s">
        <v>211</v>
      </c>
    </row>
    <row r="85" spans="1:9" ht="30" customHeight="1" x14ac:dyDescent="0.25">
      <c r="A85" s="29" t="s">
        <v>220</v>
      </c>
      <c r="B85" s="30" t="s">
        <v>29</v>
      </c>
      <c r="C85" s="31" t="s">
        <v>208</v>
      </c>
      <c r="D85" s="32">
        <v>24</v>
      </c>
      <c r="E85" s="46">
        <v>768</v>
      </c>
      <c r="F85" s="37">
        <v>32</v>
      </c>
      <c r="G85" s="34" t="s">
        <v>93</v>
      </c>
      <c r="H85" s="35" t="s">
        <v>219</v>
      </c>
      <c r="I85" s="36" t="s">
        <v>211</v>
      </c>
    </row>
    <row r="86" spans="1:9" ht="30" customHeight="1" x14ac:dyDescent="0.25">
      <c r="A86" s="29" t="s">
        <v>221</v>
      </c>
      <c r="B86" s="30" t="s">
        <v>41</v>
      </c>
      <c r="C86" s="31" t="s">
        <v>222</v>
      </c>
      <c r="D86" s="32">
        <v>24</v>
      </c>
      <c r="E86" s="46">
        <v>680</v>
      </c>
      <c r="F86" s="33">
        <v>28.333333333333332</v>
      </c>
      <c r="G86" s="34" t="s">
        <v>117</v>
      </c>
      <c r="H86" s="35" t="s">
        <v>165</v>
      </c>
      <c r="I86" s="36" t="s">
        <v>211</v>
      </c>
    </row>
    <row r="87" spans="1:9" ht="30" customHeight="1" x14ac:dyDescent="0.25">
      <c r="A87" s="29" t="s">
        <v>223</v>
      </c>
      <c r="B87" s="30" t="s">
        <v>41</v>
      </c>
      <c r="C87" s="31" t="s">
        <v>222</v>
      </c>
      <c r="D87" s="32">
        <v>24</v>
      </c>
      <c r="E87" s="46">
        <v>786</v>
      </c>
      <c r="F87" s="53">
        <v>32.75</v>
      </c>
      <c r="G87" s="34" t="s">
        <v>117</v>
      </c>
      <c r="H87" s="35" t="s">
        <v>165</v>
      </c>
      <c r="I87" s="36" t="s">
        <v>211</v>
      </c>
    </row>
    <row r="88" spans="1:9" ht="30" customHeight="1" x14ac:dyDescent="0.25">
      <c r="A88" s="29" t="s">
        <v>224</v>
      </c>
      <c r="B88" s="30" t="s">
        <v>225</v>
      </c>
      <c r="C88" s="31" t="s">
        <v>226</v>
      </c>
      <c r="D88" s="32">
        <v>3</v>
      </c>
      <c r="E88" s="46">
        <v>180</v>
      </c>
      <c r="F88" s="37">
        <v>60</v>
      </c>
      <c r="G88" s="34" t="s">
        <v>93</v>
      </c>
      <c r="H88" s="35"/>
      <c r="I88" s="38" t="s">
        <v>211</v>
      </c>
    </row>
    <row r="89" spans="1:9" ht="30" customHeight="1" x14ac:dyDescent="0.25">
      <c r="A89" s="29" t="s">
        <v>227</v>
      </c>
      <c r="B89" s="30" t="s">
        <v>228</v>
      </c>
      <c r="C89" s="31" t="s">
        <v>229</v>
      </c>
      <c r="D89" s="32">
        <v>7.5</v>
      </c>
      <c r="E89" s="46">
        <v>90</v>
      </c>
      <c r="F89" s="37">
        <v>12</v>
      </c>
      <c r="G89" s="34" t="s">
        <v>93</v>
      </c>
      <c r="H89" s="35"/>
      <c r="I89" s="38" t="s">
        <v>211</v>
      </c>
    </row>
    <row r="90" spans="1:9" ht="30" customHeight="1" x14ac:dyDescent="0.25">
      <c r="A90" s="29" t="s">
        <v>230</v>
      </c>
      <c r="B90" s="30" t="s">
        <v>362</v>
      </c>
      <c r="C90" s="31" t="s">
        <v>231</v>
      </c>
      <c r="D90" s="32">
        <v>1000</v>
      </c>
      <c r="E90" s="46">
        <v>1000</v>
      </c>
      <c r="F90" s="37">
        <v>1</v>
      </c>
      <c r="G90" s="39" t="s">
        <v>232</v>
      </c>
      <c r="H90" s="35" t="s">
        <v>233</v>
      </c>
      <c r="I90" s="36" t="s">
        <v>234</v>
      </c>
    </row>
    <row r="91" spans="1:9" ht="30" customHeight="1" x14ac:dyDescent="0.25">
      <c r="A91" s="40" t="s">
        <v>235</v>
      </c>
      <c r="B91" s="30" t="s">
        <v>236</v>
      </c>
      <c r="C91" s="31" t="s">
        <v>237</v>
      </c>
      <c r="D91" s="32">
        <v>720</v>
      </c>
      <c r="E91" s="46">
        <v>720</v>
      </c>
      <c r="F91" s="37">
        <v>1</v>
      </c>
      <c r="G91" s="34" t="s">
        <v>117</v>
      </c>
      <c r="H91" s="35"/>
      <c r="I91" s="38" t="s">
        <v>36</v>
      </c>
    </row>
    <row r="92" spans="1:9" ht="30" customHeight="1" x14ac:dyDescent="0.25">
      <c r="A92" s="29" t="s">
        <v>238</v>
      </c>
      <c r="B92" s="30" t="s">
        <v>38</v>
      </c>
      <c r="C92" s="31" t="s">
        <v>239</v>
      </c>
      <c r="D92" s="41">
        <v>1200</v>
      </c>
      <c r="E92" s="46">
        <v>1200</v>
      </c>
      <c r="F92" s="37">
        <v>1</v>
      </c>
      <c r="G92" s="39" t="s">
        <v>240</v>
      </c>
      <c r="H92" s="39" t="s">
        <v>241</v>
      </c>
      <c r="I92" s="38" t="s">
        <v>36</v>
      </c>
    </row>
    <row r="93" spans="1:9" ht="30" customHeight="1" x14ac:dyDescent="0.25">
      <c r="A93" s="29" t="s">
        <v>242</v>
      </c>
      <c r="B93" s="30" t="s">
        <v>243</v>
      </c>
      <c r="C93" s="31" t="s">
        <v>244</v>
      </c>
      <c r="D93" s="32">
        <v>20</v>
      </c>
      <c r="E93" s="47">
        <v>500</v>
      </c>
      <c r="F93" s="37">
        <v>25</v>
      </c>
      <c r="G93" s="34" t="s">
        <v>117</v>
      </c>
      <c r="H93" s="39" t="s">
        <v>105</v>
      </c>
      <c r="I93" s="38" t="s">
        <v>90</v>
      </c>
    </row>
    <row r="94" spans="1:9" ht="30" customHeight="1" x14ac:dyDescent="0.25">
      <c r="A94" s="29" t="s">
        <v>245</v>
      </c>
      <c r="B94" s="30" t="s">
        <v>62</v>
      </c>
      <c r="C94" s="42" t="s">
        <v>246</v>
      </c>
      <c r="D94" s="32">
        <v>7</v>
      </c>
      <c r="E94" s="46">
        <v>350</v>
      </c>
      <c r="F94" s="37">
        <v>50</v>
      </c>
      <c r="G94" s="34" t="s">
        <v>93</v>
      </c>
      <c r="H94" s="35"/>
      <c r="I94" s="38" t="s">
        <v>114</v>
      </c>
    </row>
    <row r="95" spans="1:9" ht="30" customHeight="1" x14ac:dyDescent="0.25">
      <c r="A95" s="29" t="s">
        <v>247</v>
      </c>
      <c r="B95" s="30" t="s">
        <v>66</v>
      </c>
      <c r="C95" s="31" t="s">
        <v>248</v>
      </c>
      <c r="D95" s="32">
        <v>20</v>
      </c>
      <c r="E95" s="46">
        <v>500</v>
      </c>
      <c r="F95" s="37">
        <v>25</v>
      </c>
      <c r="G95" s="34" t="s">
        <v>93</v>
      </c>
      <c r="H95" s="35" t="s">
        <v>105</v>
      </c>
      <c r="I95" s="36" t="s">
        <v>183</v>
      </c>
    </row>
    <row r="96" spans="1:9" ht="30" customHeight="1" x14ac:dyDescent="0.25">
      <c r="A96" s="29" t="s">
        <v>249</v>
      </c>
      <c r="B96" s="30" t="s">
        <v>250</v>
      </c>
      <c r="C96" s="31" t="s">
        <v>251</v>
      </c>
      <c r="D96" s="32">
        <v>10</v>
      </c>
      <c r="E96" s="45">
        <v>150</v>
      </c>
      <c r="F96" s="37">
        <v>15</v>
      </c>
      <c r="G96" s="34" t="s">
        <v>93</v>
      </c>
      <c r="H96" s="35"/>
      <c r="I96" s="36" t="s">
        <v>252</v>
      </c>
    </row>
    <row r="97" spans="1:9" ht="30" customHeight="1" x14ac:dyDescent="0.25">
      <c r="A97" s="29" t="s">
        <v>253</v>
      </c>
      <c r="B97" s="30" t="s">
        <v>254</v>
      </c>
      <c r="C97" s="31" t="s">
        <v>255</v>
      </c>
      <c r="D97" s="32">
        <v>10</v>
      </c>
      <c r="E97" s="46">
        <v>500</v>
      </c>
      <c r="F97" s="37">
        <v>50</v>
      </c>
      <c r="G97" s="34" t="s">
        <v>93</v>
      </c>
      <c r="H97" s="35"/>
      <c r="I97" s="38" t="s">
        <v>114</v>
      </c>
    </row>
    <row r="98" spans="1:9" ht="30" customHeight="1" x14ac:dyDescent="0.25">
      <c r="A98" s="29" t="s">
        <v>256</v>
      </c>
      <c r="B98" s="30" t="s">
        <v>51</v>
      </c>
      <c r="C98" s="31" t="s">
        <v>257</v>
      </c>
      <c r="D98" s="32">
        <v>200</v>
      </c>
      <c r="E98" s="46">
        <v>400</v>
      </c>
      <c r="F98" s="37">
        <v>2</v>
      </c>
      <c r="G98" s="34" t="s">
        <v>93</v>
      </c>
      <c r="H98" s="35"/>
      <c r="I98" s="36" t="s">
        <v>114</v>
      </c>
    </row>
    <row r="99" spans="1:9" ht="30" customHeight="1" x14ac:dyDescent="0.25">
      <c r="A99" s="29" t="s">
        <v>258</v>
      </c>
      <c r="B99" s="30" t="s">
        <v>58</v>
      </c>
      <c r="C99" s="31" t="s">
        <v>259</v>
      </c>
      <c r="D99" s="32">
        <v>5</v>
      </c>
      <c r="E99" s="46">
        <v>10</v>
      </c>
      <c r="F99" s="37">
        <v>2</v>
      </c>
      <c r="G99" s="39" t="s">
        <v>260</v>
      </c>
      <c r="H99" s="35"/>
      <c r="I99" s="38" t="s">
        <v>261</v>
      </c>
    </row>
    <row r="100" spans="1:9" ht="30" customHeight="1" x14ac:dyDescent="0.25">
      <c r="A100" s="29" t="s">
        <v>262</v>
      </c>
      <c r="B100" s="30" t="s">
        <v>58</v>
      </c>
      <c r="C100" s="31" t="s">
        <v>259</v>
      </c>
      <c r="D100" s="32">
        <v>5</v>
      </c>
      <c r="E100" s="45">
        <v>20</v>
      </c>
      <c r="F100" s="37">
        <v>4</v>
      </c>
      <c r="G100" s="34" t="s">
        <v>88</v>
      </c>
      <c r="H100" s="52"/>
      <c r="I100" s="38" t="s">
        <v>261</v>
      </c>
    </row>
    <row r="101" spans="1:9" ht="30" customHeight="1" x14ac:dyDescent="0.25">
      <c r="A101" s="29" t="s">
        <v>263</v>
      </c>
      <c r="B101" s="30" t="s">
        <v>58</v>
      </c>
      <c r="C101" s="31" t="s">
        <v>259</v>
      </c>
      <c r="D101" s="32">
        <v>5</v>
      </c>
      <c r="E101" s="45">
        <v>40</v>
      </c>
      <c r="F101" s="37">
        <v>8</v>
      </c>
      <c r="G101" s="34" t="s">
        <v>88</v>
      </c>
      <c r="H101" s="52"/>
      <c r="I101" s="38" t="s">
        <v>261</v>
      </c>
    </row>
    <row r="102" spans="1:9" ht="30" customHeight="1" x14ac:dyDescent="0.25">
      <c r="A102" s="29" t="s">
        <v>264</v>
      </c>
      <c r="B102" s="30" t="s">
        <v>58</v>
      </c>
      <c r="C102" s="31" t="s">
        <v>259</v>
      </c>
      <c r="D102" s="32">
        <v>5</v>
      </c>
      <c r="E102" s="46">
        <v>50</v>
      </c>
      <c r="F102" s="37">
        <v>10</v>
      </c>
      <c r="G102" s="34" t="s">
        <v>93</v>
      </c>
      <c r="H102" s="52"/>
      <c r="I102" s="38" t="s">
        <v>261</v>
      </c>
    </row>
    <row r="103" spans="1:9" ht="30" customHeight="1" x14ac:dyDescent="0.25">
      <c r="A103" s="29" t="s">
        <v>265</v>
      </c>
      <c r="B103" s="30" t="s">
        <v>58</v>
      </c>
      <c r="C103" s="31" t="s">
        <v>259</v>
      </c>
      <c r="D103" s="32">
        <v>5</v>
      </c>
      <c r="E103" s="45">
        <v>80</v>
      </c>
      <c r="F103" s="37">
        <v>16</v>
      </c>
      <c r="G103" s="34" t="s">
        <v>93</v>
      </c>
      <c r="H103" s="52"/>
      <c r="I103" s="38" t="s">
        <v>261</v>
      </c>
    </row>
    <row r="104" spans="1:9" ht="30" customHeight="1" x14ac:dyDescent="0.25">
      <c r="A104" s="29" t="s">
        <v>266</v>
      </c>
      <c r="B104" s="30" t="s">
        <v>58</v>
      </c>
      <c r="C104" s="31" t="s">
        <v>259</v>
      </c>
      <c r="D104" s="32">
        <v>5</v>
      </c>
      <c r="E104" s="46">
        <v>100</v>
      </c>
      <c r="F104" s="37">
        <v>20</v>
      </c>
      <c r="G104" s="34" t="s">
        <v>93</v>
      </c>
      <c r="H104" s="52"/>
      <c r="I104" s="38" t="s">
        <v>261</v>
      </c>
    </row>
    <row r="105" spans="1:9" ht="30" customHeight="1" x14ac:dyDescent="0.25">
      <c r="A105" s="29" t="s">
        <v>267</v>
      </c>
      <c r="B105" s="30" t="s">
        <v>58</v>
      </c>
      <c r="C105" s="31" t="s">
        <v>259</v>
      </c>
      <c r="D105" s="32">
        <v>5</v>
      </c>
      <c r="E105" s="45">
        <v>130</v>
      </c>
      <c r="F105" s="37">
        <v>26</v>
      </c>
      <c r="G105" s="34" t="s">
        <v>93</v>
      </c>
      <c r="H105" s="52"/>
      <c r="I105" s="38" t="s">
        <v>261</v>
      </c>
    </row>
    <row r="106" spans="1:9" ht="30" customHeight="1" x14ac:dyDescent="0.25">
      <c r="A106" s="29" t="s">
        <v>268</v>
      </c>
      <c r="B106" s="30" t="s">
        <v>58</v>
      </c>
      <c r="C106" s="31" t="s">
        <v>259</v>
      </c>
      <c r="D106" s="32">
        <v>5</v>
      </c>
      <c r="E106" s="45">
        <v>150</v>
      </c>
      <c r="F106" s="37">
        <v>30</v>
      </c>
      <c r="G106" s="34" t="s">
        <v>93</v>
      </c>
      <c r="H106" s="52"/>
      <c r="I106" s="38" t="s">
        <v>261</v>
      </c>
    </row>
    <row r="107" spans="1:9" ht="30" customHeight="1" x14ac:dyDescent="0.25">
      <c r="A107" s="29" t="s">
        <v>269</v>
      </c>
      <c r="B107" s="30" t="s">
        <v>58</v>
      </c>
      <c r="C107" s="31" t="s">
        <v>259</v>
      </c>
      <c r="D107" s="32">
        <v>5</v>
      </c>
      <c r="E107" s="45">
        <v>200</v>
      </c>
      <c r="F107" s="37">
        <v>40</v>
      </c>
      <c r="G107" s="34" t="s">
        <v>93</v>
      </c>
      <c r="H107" s="52"/>
      <c r="I107" s="38" t="s">
        <v>261</v>
      </c>
    </row>
    <row r="108" spans="1:9" ht="30" customHeight="1" x14ac:dyDescent="0.25">
      <c r="A108" s="29" t="s">
        <v>270</v>
      </c>
      <c r="B108" s="30" t="s">
        <v>58</v>
      </c>
      <c r="C108" s="31" t="s">
        <v>259</v>
      </c>
      <c r="D108" s="32">
        <v>5</v>
      </c>
      <c r="E108" s="45">
        <v>240</v>
      </c>
      <c r="F108" s="37">
        <v>48</v>
      </c>
      <c r="G108" s="34" t="s">
        <v>93</v>
      </c>
      <c r="H108" s="52"/>
      <c r="I108" s="38" t="s">
        <v>261</v>
      </c>
    </row>
    <row r="109" spans="1:9" ht="30" customHeight="1" x14ac:dyDescent="0.25">
      <c r="A109" s="29" t="s">
        <v>271</v>
      </c>
      <c r="B109" s="30" t="s">
        <v>58</v>
      </c>
      <c r="C109" s="31" t="s">
        <v>259</v>
      </c>
      <c r="D109" s="32">
        <v>5</v>
      </c>
      <c r="E109" s="45">
        <v>250</v>
      </c>
      <c r="F109" s="37">
        <v>50</v>
      </c>
      <c r="G109" s="34" t="s">
        <v>93</v>
      </c>
      <c r="H109" s="52"/>
      <c r="I109" s="38" t="s">
        <v>261</v>
      </c>
    </row>
    <row r="110" spans="1:9" ht="30" customHeight="1" x14ac:dyDescent="0.25">
      <c r="A110" s="29" t="s">
        <v>272</v>
      </c>
      <c r="B110" s="30" t="s">
        <v>58</v>
      </c>
      <c r="C110" s="31" t="s">
        <v>259</v>
      </c>
      <c r="D110" s="32">
        <v>5</v>
      </c>
      <c r="E110" s="45">
        <v>325</v>
      </c>
      <c r="F110" s="37">
        <v>65</v>
      </c>
      <c r="G110" s="34" t="s">
        <v>93</v>
      </c>
      <c r="H110" s="52"/>
      <c r="I110" s="38" t="s">
        <v>261</v>
      </c>
    </row>
    <row r="111" spans="1:9" ht="30" customHeight="1" x14ac:dyDescent="0.25">
      <c r="A111" s="29" t="s">
        <v>273</v>
      </c>
      <c r="B111" s="30" t="s">
        <v>58</v>
      </c>
      <c r="C111" s="31" t="s">
        <v>259</v>
      </c>
      <c r="D111" s="32">
        <v>5</v>
      </c>
      <c r="E111" s="46">
        <v>350</v>
      </c>
      <c r="F111" s="37">
        <v>70</v>
      </c>
      <c r="G111" s="34" t="s">
        <v>93</v>
      </c>
      <c r="H111" s="35" t="s">
        <v>149</v>
      </c>
      <c r="I111" s="38" t="s">
        <v>261</v>
      </c>
    </row>
    <row r="112" spans="1:9" ht="30" customHeight="1" x14ac:dyDescent="0.25">
      <c r="A112" s="29" t="s">
        <v>274</v>
      </c>
      <c r="B112" s="30" t="s">
        <v>58</v>
      </c>
      <c r="C112" s="31" t="s">
        <v>259</v>
      </c>
      <c r="D112" s="32">
        <v>5</v>
      </c>
      <c r="E112" s="46">
        <v>450</v>
      </c>
      <c r="F112" s="37">
        <v>90</v>
      </c>
      <c r="G112" s="39" t="s">
        <v>232</v>
      </c>
      <c r="H112" s="35" t="s">
        <v>275</v>
      </c>
      <c r="I112" s="38" t="s">
        <v>261</v>
      </c>
    </row>
    <row r="113" spans="1:9" ht="30" customHeight="1" x14ac:dyDescent="0.25">
      <c r="A113" s="29" t="s">
        <v>276</v>
      </c>
      <c r="B113" s="30" t="s">
        <v>58</v>
      </c>
      <c r="C113" s="31" t="s">
        <v>259</v>
      </c>
      <c r="D113" s="32">
        <v>5</v>
      </c>
      <c r="E113" s="45">
        <v>550</v>
      </c>
      <c r="F113" s="37">
        <v>110</v>
      </c>
      <c r="G113" s="39" t="s">
        <v>232</v>
      </c>
      <c r="H113" s="35" t="s">
        <v>277</v>
      </c>
      <c r="I113" s="38" t="s">
        <v>261</v>
      </c>
    </row>
    <row r="114" spans="1:9" ht="30" customHeight="1" x14ac:dyDescent="0.25">
      <c r="A114" s="29" t="s">
        <v>278</v>
      </c>
      <c r="B114" s="30" t="s">
        <v>279</v>
      </c>
      <c r="C114" s="31" t="s">
        <v>280</v>
      </c>
      <c r="D114" s="37">
        <v>0.2</v>
      </c>
      <c r="E114" s="45">
        <v>400</v>
      </c>
      <c r="F114" s="37">
        <v>2000</v>
      </c>
      <c r="G114" s="34" t="s">
        <v>93</v>
      </c>
      <c r="H114" s="35"/>
      <c r="I114" s="36" t="s">
        <v>281</v>
      </c>
    </row>
    <row r="115" spans="1:9" ht="30" customHeight="1" x14ac:dyDescent="0.25">
      <c r="A115" s="29" t="s">
        <v>282</v>
      </c>
      <c r="B115" s="30" t="s">
        <v>279</v>
      </c>
      <c r="C115" s="31" t="s">
        <v>280</v>
      </c>
      <c r="D115" s="37">
        <v>0.2</v>
      </c>
      <c r="E115" s="45">
        <v>600</v>
      </c>
      <c r="F115" s="37">
        <v>3000</v>
      </c>
      <c r="G115" s="34" t="s">
        <v>93</v>
      </c>
      <c r="H115" s="35"/>
      <c r="I115" s="36" t="s">
        <v>281</v>
      </c>
    </row>
    <row r="116" spans="1:9" ht="30" customHeight="1" x14ac:dyDescent="0.25">
      <c r="A116" s="29" t="s">
        <v>283</v>
      </c>
      <c r="B116" s="30" t="s">
        <v>284</v>
      </c>
      <c r="C116" s="31" t="s">
        <v>285</v>
      </c>
      <c r="D116" s="37">
        <v>1</v>
      </c>
      <c r="E116" s="45">
        <v>5</v>
      </c>
      <c r="F116" s="37">
        <v>5</v>
      </c>
      <c r="G116" s="39">
        <v>0.5</v>
      </c>
      <c r="H116" s="35"/>
      <c r="I116" s="38" t="s">
        <v>114</v>
      </c>
    </row>
    <row r="117" spans="1:9" ht="30" customHeight="1" x14ac:dyDescent="0.25">
      <c r="A117" s="29" t="s">
        <v>286</v>
      </c>
      <c r="B117" s="30" t="s">
        <v>287</v>
      </c>
      <c r="C117" s="31" t="s">
        <v>288</v>
      </c>
      <c r="D117" s="37">
        <v>2.5</v>
      </c>
      <c r="E117" s="45">
        <v>5</v>
      </c>
      <c r="F117" s="37">
        <v>2</v>
      </c>
      <c r="G117" s="39">
        <v>0.5</v>
      </c>
      <c r="H117" s="35"/>
      <c r="I117" s="38" t="s">
        <v>114</v>
      </c>
    </row>
    <row r="118" spans="1:9" ht="30" customHeight="1" x14ac:dyDescent="0.25">
      <c r="A118" s="29" t="s">
        <v>289</v>
      </c>
      <c r="B118" s="30" t="s">
        <v>290</v>
      </c>
      <c r="C118" s="31" t="s">
        <v>291</v>
      </c>
      <c r="D118" s="37">
        <v>1.8</v>
      </c>
      <c r="E118" s="46">
        <v>162</v>
      </c>
      <c r="F118" s="37">
        <v>90</v>
      </c>
      <c r="G118" s="34" t="s">
        <v>93</v>
      </c>
      <c r="H118" s="35"/>
      <c r="I118" s="38" t="s">
        <v>114</v>
      </c>
    </row>
    <row r="119" spans="1:9" ht="30" customHeight="1" x14ac:dyDescent="0.25">
      <c r="A119" s="29" t="s">
        <v>292</v>
      </c>
      <c r="B119" s="30" t="s">
        <v>290</v>
      </c>
      <c r="C119" s="31" t="s">
        <v>291</v>
      </c>
      <c r="D119" s="37">
        <v>1.8</v>
      </c>
      <c r="E119" s="46">
        <v>198</v>
      </c>
      <c r="F119" s="37">
        <v>110</v>
      </c>
      <c r="G119" s="34" t="s">
        <v>93</v>
      </c>
      <c r="H119" s="35"/>
      <c r="I119" s="38" t="s">
        <v>114</v>
      </c>
    </row>
    <row r="120" spans="1:9" ht="30" customHeight="1" x14ac:dyDescent="0.25">
      <c r="A120" s="29" t="s">
        <v>293</v>
      </c>
      <c r="B120" s="30" t="s">
        <v>294</v>
      </c>
      <c r="C120" s="31" t="s">
        <v>295</v>
      </c>
      <c r="D120" s="32">
        <v>2.4</v>
      </c>
      <c r="E120" s="46">
        <v>96</v>
      </c>
      <c r="F120" s="37">
        <v>40</v>
      </c>
      <c r="G120" s="34" t="s">
        <v>93</v>
      </c>
      <c r="H120" s="35"/>
      <c r="I120" s="36" t="s">
        <v>281</v>
      </c>
    </row>
    <row r="121" spans="1:9" ht="30" customHeight="1" x14ac:dyDescent="0.25">
      <c r="A121" s="29" t="s">
        <v>296</v>
      </c>
      <c r="B121" s="30" t="s">
        <v>294</v>
      </c>
      <c r="C121" s="31" t="s">
        <v>295</v>
      </c>
      <c r="D121" s="32">
        <v>2.4</v>
      </c>
      <c r="E121" s="46">
        <v>216</v>
      </c>
      <c r="F121" s="37">
        <v>90</v>
      </c>
      <c r="G121" s="34" t="s">
        <v>93</v>
      </c>
      <c r="H121" s="35"/>
      <c r="I121" s="36" t="s">
        <v>281</v>
      </c>
    </row>
    <row r="122" spans="1:9" ht="30" customHeight="1" x14ac:dyDescent="0.25">
      <c r="A122" s="29" t="s">
        <v>297</v>
      </c>
      <c r="B122" s="30" t="s">
        <v>46</v>
      </c>
      <c r="C122" s="39" t="s">
        <v>298</v>
      </c>
      <c r="D122" s="37">
        <v>20</v>
      </c>
      <c r="E122" s="46">
        <v>120</v>
      </c>
      <c r="F122" s="37">
        <v>6</v>
      </c>
      <c r="G122" s="34" t="s">
        <v>93</v>
      </c>
      <c r="H122" s="35"/>
      <c r="I122" s="38" t="s">
        <v>36</v>
      </c>
    </row>
    <row r="123" spans="1:9" ht="30" customHeight="1" x14ac:dyDescent="0.25">
      <c r="A123" s="29" t="s">
        <v>297</v>
      </c>
      <c r="B123" s="30" t="s">
        <v>46</v>
      </c>
      <c r="C123" s="39" t="s">
        <v>298</v>
      </c>
      <c r="D123" s="37">
        <v>20</v>
      </c>
      <c r="E123" s="45">
        <v>200</v>
      </c>
      <c r="F123" s="37">
        <v>10</v>
      </c>
      <c r="G123" s="34" t="s">
        <v>93</v>
      </c>
      <c r="H123" s="52"/>
      <c r="I123" s="38" t="s">
        <v>36</v>
      </c>
    </row>
    <row r="124" spans="1:9" ht="30" customHeight="1" x14ac:dyDescent="0.25">
      <c r="A124" s="29" t="s">
        <v>297</v>
      </c>
      <c r="B124" s="30" t="s">
        <v>46</v>
      </c>
      <c r="C124" s="39" t="s">
        <v>298</v>
      </c>
      <c r="D124" s="37">
        <v>20</v>
      </c>
      <c r="E124" s="46">
        <v>300</v>
      </c>
      <c r="F124" s="37">
        <v>15</v>
      </c>
      <c r="G124" s="34" t="s">
        <v>93</v>
      </c>
      <c r="H124" s="52"/>
      <c r="I124" s="38" t="s">
        <v>36</v>
      </c>
    </row>
    <row r="125" spans="1:9" ht="30" customHeight="1" x14ac:dyDescent="0.25">
      <c r="A125" s="29" t="s">
        <v>297</v>
      </c>
      <c r="B125" s="30" t="s">
        <v>46</v>
      </c>
      <c r="C125" s="39" t="s">
        <v>298</v>
      </c>
      <c r="D125" s="37">
        <v>20</v>
      </c>
      <c r="E125" s="46">
        <v>400</v>
      </c>
      <c r="F125" s="37">
        <v>20</v>
      </c>
      <c r="G125" s="34" t="s">
        <v>93</v>
      </c>
      <c r="H125" s="52"/>
      <c r="I125" s="38" t="s">
        <v>36</v>
      </c>
    </row>
    <row r="126" spans="1:9" ht="30" customHeight="1" x14ac:dyDescent="0.25">
      <c r="A126" s="29" t="s">
        <v>297</v>
      </c>
      <c r="B126" s="30" t="s">
        <v>46</v>
      </c>
      <c r="C126" s="39" t="s">
        <v>298</v>
      </c>
      <c r="D126" s="37">
        <v>20</v>
      </c>
      <c r="E126" s="46">
        <v>600</v>
      </c>
      <c r="F126" s="37">
        <v>30</v>
      </c>
      <c r="G126" s="34" t="s">
        <v>93</v>
      </c>
      <c r="H126" s="52"/>
      <c r="I126" s="38" t="s">
        <v>36</v>
      </c>
    </row>
    <row r="127" spans="1:9" ht="30" customHeight="1" x14ac:dyDescent="0.25">
      <c r="A127" s="29" t="s">
        <v>297</v>
      </c>
      <c r="B127" s="30" t="s">
        <v>46</v>
      </c>
      <c r="C127" s="39" t="s">
        <v>298</v>
      </c>
      <c r="D127" s="37">
        <v>20</v>
      </c>
      <c r="E127" s="46">
        <v>720</v>
      </c>
      <c r="F127" s="37">
        <v>36</v>
      </c>
      <c r="G127" s="34" t="s">
        <v>93</v>
      </c>
      <c r="H127" s="35"/>
      <c r="I127" s="38" t="s">
        <v>36</v>
      </c>
    </row>
    <row r="128" spans="1:9" ht="30" customHeight="1" x14ac:dyDescent="0.25">
      <c r="A128" s="29" t="s">
        <v>299</v>
      </c>
      <c r="B128" s="30" t="s">
        <v>50</v>
      </c>
      <c r="C128" s="39" t="s">
        <v>300</v>
      </c>
      <c r="D128" s="37">
        <v>25</v>
      </c>
      <c r="E128" s="46">
        <v>50</v>
      </c>
      <c r="F128" s="37">
        <v>2</v>
      </c>
      <c r="G128" s="34" t="s">
        <v>93</v>
      </c>
      <c r="H128" s="35"/>
      <c r="I128" s="38" t="s">
        <v>301</v>
      </c>
    </row>
    <row r="129" spans="1:9" ht="30" customHeight="1" x14ac:dyDescent="0.25">
      <c r="A129" s="29" t="s">
        <v>299</v>
      </c>
      <c r="B129" s="30" t="s">
        <v>50</v>
      </c>
      <c r="C129" s="39" t="s">
        <v>300</v>
      </c>
      <c r="D129" s="37">
        <v>25</v>
      </c>
      <c r="E129" s="46">
        <v>100</v>
      </c>
      <c r="F129" s="37">
        <v>4</v>
      </c>
      <c r="G129" s="34" t="s">
        <v>93</v>
      </c>
      <c r="H129" s="52"/>
      <c r="I129" s="38" t="s">
        <v>301</v>
      </c>
    </row>
    <row r="130" spans="1:9" ht="30" customHeight="1" x14ac:dyDescent="0.25">
      <c r="A130" s="29" t="s">
        <v>299</v>
      </c>
      <c r="B130" s="30" t="s">
        <v>50</v>
      </c>
      <c r="C130" s="39" t="s">
        <v>300</v>
      </c>
      <c r="D130" s="37">
        <v>25</v>
      </c>
      <c r="E130" s="46">
        <v>150</v>
      </c>
      <c r="F130" s="37">
        <v>6</v>
      </c>
      <c r="G130" s="34" t="s">
        <v>93</v>
      </c>
      <c r="H130" s="52"/>
      <c r="I130" s="38" t="s">
        <v>301</v>
      </c>
    </row>
    <row r="131" spans="1:9" ht="30" customHeight="1" x14ac:dyDescent="0.25">
      <c r="A131" s="29" t="s">
        <v>299</v>
      </c>
      <c r="B131" s="30" t="s">
        <v>50</v>
      </c>
      <c r="C131" s="39" t="s">
        <v>300</v>
      </c>
      <c r="D131" s="37">
        <v>25</v>
      </c>
      <c r="E131" s="46">
        <v>200</v>
      </c>
      <c r="F131" s="37">
        <v>8</v>
      </c>
      <c r="G131" s="34" t="s">
        <v>93</v>
      </c>
      <c r="H131" s="52"/>
      <c r="I131" s="38" t="s">
        <v>301</v>
      </c>
    </row>
    <row r="132" spans="1:9" ht="30" customHeight="1" x14ac:dyDescent="0.25">
      <c r="A132" s="29" t="s">
        <v>299</v>
      </c>
      <c r="B132" s="30" t="s">
        <v>50</v>
      </c>
      <c r="C132" s="39" t="s">
        <v>300</v>
      </c>
      <c r="D132" s="37">
        <v>25</v>
      </c>
      <c r="E132" s="46">
        <v>250</v>
      </c>
      <c r="F132" s="37">
        <v>10</v>
      </c>
      <c r="G132" s="34" t="s">
        <v>93</v>
      </c>
      <c r="H132" s="35"/>
      <c r="I132" s="38" t="s">
        <v>301</v>
      </c>
    </row>
    <row r="133" spans="1:9" ht="30" customHeight="1" x14ac:dyDescent="0.25">
      <c r="A133" s="29" t="s">
        <v>302</v>
      </c>
      <c r="B133" s="15" t="s">
        <v>54</v>
      </c>
      <c r="C133" s="39" t="s">
        <v>303</v>
      </c>
      <c r="D133" s="37">
        <v>20</v>
      </c>
      <c r="E133" s="46">
        <v>60</v>
      </c>
      <c r="F133" s="37">
        <v>3</v>
      </c>
      <c r="G133" s="34" t="s">
        <v>88</v>
      </c>
      <c r="H133" s="35" t="s">
        <v>89</v>
      </c>
      <c r="I133" s="38" t="s">
        <v>304</v>
      </c>
    </row>
    <row r="134" spans="1:9" ht="30" customHeight="1" x14ac:dyDescent="0.25">
      <c r="A134" s="29" t="s">
        <v>302</v>
      </c>
      <c r="B134" s="15" t="s">
        <v>54</v>
      </c>
      <c r="C134" s="39" t="s">
        <v>303</v>
      </c>
      <c r="D134" s="37">
        <v>20</v>
      </c>
      <c r="E134" s="46">
        <v>160</v>
      </c>
      <c r="F134" s="37">
        <v>8</v>
      </c>
      <c r="G134" s="34" t="s">
        <v>93</v>
      </c>
      <c r="H134" s="35" t="s">
        <v>94</v>
      </c>
      <c r="I134" s="38" t="s">
        <v>304</v>
      </c>
    </row>
    <row r="135" spans="1:9" ht="30" customHeight="1" x14ac:dyDescent="0.25">
      <c r="A135" s="29" t="s">
        <v>302</v>
      </c>
      <c r="B135" s="15" t="s">
        <v>54</v>
      </c>
      <c r="C135" s="39" t="s">
        <v>303</v>
      </c>
      <c r="D135" s="37">
        <v>20</v>
      </c>
      <c r="E135" s="46">
        <v>500</v>
      </c>
      <c r="F135" s="37">
        <v>25</v>
      </c>
      <c r="G135" s="34" t="s">
        <v>93</v>
      </c>
      <c r="H135" s="35" t="s">
        <v>105</v>
      </c>
      <c r="I135" s="38" t="s">
        <v>304</v>
      </c>
    </row>
    <row r="136" spans="1:9" ht="30" customHeight="1" x14ac:dyDescent="0.25">
      <c r="A136" s="29" t="s">
        <v>302</v>
      </c>
      <c r="B136" s="15" t="s">
        <v>54</v>
      </c>
      <c r="C136" s="39" t="s">
        <v>303</v>
      </c>
      <c r="D136" s="37">
        <v>20</v>
      </c>
      <c r="E136" s="46">
        <v>720</v>
      </c>
      <c r="F136" s="37">
        <v>36</v>
      </c>
      <c r="G136" s="34" t="s">
        <v>93</v>
      </c>
      <c r="H136" s="35"/>
      <c r="I136" s="38" t="s">
        <v>304</v>
      </c>
    </row>
    <row r="137" spans="1:9" ht="30" customHeight="1" x14ac:dyDescent="0.25">
      <c r="A137" s="29" t="s">
        <v>305</v>
      </c>
      <c r="B137" s="15" t="s">
        <v>48</v>
      </c>
      <c r="C137" s="39" t="s">
        <v>306</v>
      </c>
      <c r="D137" s="37">
        <v>50</v>
      </c>
      <c r="E137" s="43">
        <v>350</v>
      </c>
      <c r="F137" s="37">
        <v>7</v>
      </c>
      <c r="G137" s="34" t="s">
        <v>93</v>
      </c>
      <c r="H137" s="35"/>
      <c r="I137" s="38" t="s">
        <v>307</v>
      </c>
    </row>
    <row r="138" spans="1:9" ht="30" customHeight="1" x14ac:dyDescent="0.25">
      <c r="A138" s="29" t="s">
        <v>305</v>
      </c>
      <c r="B138" s="15" t="s">
        <v>48</v>
      </c>
      <c r="C138" s="39" t="s">
        <v>306</v>
      </c>
      <c r="D138" s="37">
        <v>50</v>
      </c>
      <c r="E138" s="43">
        <v>400</v>
      </c>
      <c r="F138" s="37">
        <v>8</v>
      </c>
      <c r="G138" s="34" t="s">
        <v>93</v>
      </c>
      <c r="H138" s="35"/>
      <c r="I138" s="38" t="s">
        <v>307</v>
      </c>
    </row>
    <row r="139" spans="1:9" ht="30" customHeight="1" x14ac:dyDescent="0.25">
      <c r="A139" s="29" t="s">
        <v>308</v>
      </c>
      <c r="B139" s="15" t="s">
        <v>64</v>
      </c>
      <c r="C139" s="42" t="s">
        <v>309</v>
      </c>
      <c r="D139" s="37">
        <v>2.5</v>
      </c>
      <c r="E139" s="46">
        <v>275</v>
      </c>
      <c r="F139" s="37">
        <v>110</v>
      </c>
      <c r="G139" s="34" t="s">
        <v>93</v>
      </c>
      <c r="H139" s="35"/>
      <c r="I139" s="38" t="s">
        <v>114</v>
      </c>
    </row>
    <row r="140" spans="1:9" ht="30" customHeight="1" x14ac:dyDescent="0.25">
      <c r="A140" s="29" t="s">
        <v>204</v>
      </c>
      <c r="B140" s="15" t="s">
        <v>205</v>
      </c>
      <c r="C140" s="42" t="s">
        <v>310</v>
      </c>
      <c r="D140" s="37">
        <v>3.2</v>
      </c>
      <c r="E140" s="43">
        <v>230</v>
      </c>
      <c r="F140" s="37">
        <v>71.875</v>
      </c>
      <c r="G140" s="34" t="s">
        <v>93</v>
      </c>
      <c r="H140" s="35"/>
      <c r="I140" s="38" t="s">
        <v>166</v>
      </c>
    </row>
    <row r="141" spans="1:9" ht="30" customHeight="1" x14ac:dyDescent="0.25">
      <c r="A141" s="29" t="s">
        <v>311</v>
      </c>
      <c r="B141" s="15" t="s">
        <v>312</v>
      </c>
      <c r="C141" s="39" t="s">
        <v>313</v>
      </c>
      <c r="D141" s="37">
        <v>10</v>
      </c>
      <c r="E141" s="46">
        <v>20</v>
      </c>
      <c r="F141" s="37">
        <v>2</v>
      </c>
      <c r="G141" s="39">
        <v>0.5</v>
      </c>
      <c r="H141" s="35"/>
      <c r="I141" s="38" t="s">
        <v>314</v>
      </c>
    </row>
    <row r="142" spans="1:9" ht="30" customHeight="1" x14ac:dyDescent="0.25">
      <c r="A142" s="29" t="s">
        <v>311</v>
      </c>
      <c r="B142" s="15" t="s">
        <v>312</v>
      </c>
      <c r="C142" s="39" t="s">
        <v>313</v>
      </c>
      <c r="D142" s="37">
        <v>10</v>
      </c>
      <c r="E142" s="46">
        <v>30</v>
      </c>
      <c r="F142" s="37">
        <v>3</v>
      </c>
      <c r="G142" s="39" t="s">
        <v>315</v>
      </c>
      <c r="H142" s="52"/>
      <c r="I142" s="38" t="s">
        <v>314</v>
      </c>
    </row>
    <row r="143" spans="1:9" ht="30" customHeight="1" x14ac:dyDescent="0.25">
      <c r="A143" s="29" t="s">
        <v>311</v>
      </c>
      <c r="B143" s="15" t="s">
        <v>312</v>
      </c>
      <c r="C143" s="39" t="s">
        <v>313</v>
      </c>
      <c r="D143" s="37">
        <v>10</v>
      </c>
      <c r="E143" s="46">
        <v>40</v>
      </c>
      <c r="F143" s="37">
        <v>4</v>
      </c>
      <c r="G143" s="39" t="s">
        <v>315</v>
      </c>
      <c r="H143" s="52"/>
      <c r="I143" s="38" t="s">
        <v>314</v>
      </c>
    </row>
    <row r="144" spans="1:9" ht="30" customHeight="1" x14ac:dyDescent="0.25">
      <c r="A144" s="29" t="s">
        <v>311</v>
      </c>
      <c r="B144" s="15" t="s">
        <v>312</v>
      </c>
      <c r="C144" s="39" t="s">
        <v>313</v>
      </c>
      <c r="D144" s="37">
        <v>10</v>
      </c>
      <c r="E144" s="46">
        <v>60</v>
      </c>
      <c r="F144" s="37">
        <v>6</v>
      </c>
      <c r="G144" s="34" t="s">
        <v>93</v>
      </c>
      <c r="H144" s="52"/>
      <c r="I144" s="38" t="s">
        <v>314</v>
      </c>
    </row>
    <row r="145" spans="1:9" ht="30" customHeight="1" x14ac:dyDescent="0.25">
      <c r="A145" s="29" t="s">
        <v>311</v>
      </c>
      <c r="B145" s="15" t="s">
        <v>312</v>
      </c>
      <c r="C145" s="39" t="s">
        <v>313</v>
      </c>
      <c r="D145" s="37">
        <v>10</v>
      </c>
      <c r="E145" s="45">
        <v>100</v>
      </c>
      <c r="F145" s="37">
        <v>10</v>
      </c>
      <c r="G145" s="34" t="s">
        <v>93</v>
      </c>
      <c r="H145" s="52"/>
      <c r="I145" s="38" t="s">
        <v>314</v>
      </c>
    </row>
    <row r="146" spans="1:9" ht="30" customHeight="1" x14ac:dyDescent="0.25">
      <c r="A146" s="29" t="s">
        <v>311</v>
      </c>
      <c r="B146" s="15" t="s">
        <v>312</v>
      </c>
      <c r="C146" s="39" t="s">
        <v>313</v>
      </c>
      <c r="D146" s="37">
        <v>10</v>
      </c>
      <c r="E146" s="46">
        <v>520</v>
      </c>
      <c r="F146" s="37">
        <v>52</v>
      </c>
      <c r="G146" s="39" t="s">
        <v>368</v>
      </c>
      <c r="H146" s="35"/>
      <c r="I146" s="38" t="s">
        <v>314</v>
      </c>
    </row>
    <row r="147" spans="1:9" ht="30" customHeight="1" x14ac:dyDescent="0.25">
      <c r="A147" s="29" t="s">
        <v>316</v>
      </c>
      <c r="B147" s="15" t="s">
        <v>317</v>
      </c>
      <c r="C147" s="39" t="s">
        <v>318</v>
      </c>
      <c r="D147" s="37">
        <v>1</v>
      </c>
      <c r="E147" s="46">
        <v>2</v>
      </c>
      <c r="F147" s="37">
        <v>2</v>
      </c>
      <c r="G147" s="39">
        <v>0.5</v>
      </c>
      <c r="H147" s="35"/>
      <c r="I147" s="38" t="s">
        <v>314</v>
      </c>
    </row>
    <row r="148" spans="1:9" ht="30" customHeight="1" x14ac:dyDescent="0.25">
      <c r="A148" s="29" t="s">
        <v>316</v>
      </c>
      <c r="B148" s="15" t="s">
        <v>317</v>
      </c>
      <c r="C148" s="39" t="s">
        <v>318</v>
      </c>
      <c r="D148" s="37">
        <v>1</v>
      </c>
      <c r="E148" s="46">
        <v>3</v>
      </c>
      <c r="F148" s="37">
        <v>3</v>
      </c>
      <c r="G148" s="39">
        <v>0.5</v>
      </c>
      <c r="H148" s="52"/>
      <c r="I148" s="38" t="s">
        <v>314</v>
      </c>
    </row>
    <row r="149" spans="1:9" ht="30" customHeight="1" x14ac:dyDescent="0.25">
      <c r="A149" s="29" t="s">
        <v>316</v>
      </c>
      <c r="B149" s="15" t="s">
        <v>317</v>
      </c>
      <c r="C149" s="39" t="s">
        <v>318</v>
      </c>
      <c r="D149" s="37">
        <v>1</v>
      </c>
      <c r="E149" s="45">
        <v>4</v>
      </c>
      <c r="F149" s="37">
        <v>4</v>
      </c>
      <c r="G149" s="39">
        <v>0.5</v>
      </c>
      <c r="H149" s="52"/>
      <c r="I149" s="38" t="s">
        <v>314</v>
      </c>
    </row>
    <row r="150" spans="1:9" ht="30" customHeight="1" x14ac:dyDescent="0.25">
      <c r="A150" s="29" t="s">
        <v>316</v>
      </c>
      <c r="B150" s="15" t="s">
        <v>317</v>
      </c>
      <c r="C150" s="39" t="s">
        <v>318</v>
      </c>
      <c r="D150" s="37">
        <v>1</v>
      </c>
      <c r="E150" s="45">
        <v>5</v>
      </c>
      <c r="F150" s="37">
        <v>5</v>
      </c>
      <c r="G150" s="39">
        <v>0.5</v>
      </c>
      <c r="H150" s="52"/>
      <c r="I150" s="38" t="s">
        <v>314</v>
      </c>
    </row>
    <row r="151" spans="1:9" ht="30" customHeight="1" x14ac:dyDescent="0.25">
      <c r="A151" s="29" t="s">
        <v>316</v>
      </c>
      <c r="B151" s="15" t="s">
        <v>317</v>
      </c>
      <c r="C151" s="39" t="s">
        <v>318</v>
      </c>
      <c r="D151" s="37">
        <v>1</v>
      </c>
      <c r="E151" s="46">
        <v>10</v>
      </c>
      <c r="F151" s="37">
        <v>10</v>
      </c>
      <c r="G151" s="39">
        <v>0.5</v>
      </c>
      <c r="H151" s="52"/>
      <c r="I151" s="38" t="s">
        <v>314</v>
      </c>
    </row>
    <row r="152" spans="1:9" ht="30" customHeight="1" x14ac:dyDescent="0.25">
      <c r="A152" s="29" t="s">
        <v>316</v>
      </c>
      <c r="B152" s="15" t="s">
        <v>317</v>
      </c>
      <c r="C152" s="39" t="s">
        <v>318</v>
      </c>
      <c r="D152" s="37">
        <v>1</v>
      </c>
      <c r="E152" s="45">
        <v>12</v>
      </c>
      <c r="F152" s="37">
        <v>12</v>
      </c>
      <c r="G152" s="39">
        <v>0.5</v>
      </c>
      <c r="H152" s="52"/>
      <c r="I152" s="38" t="s">
        <v>314</v>
      </c>
    </row>
    <row r="153" spans="1:9" ht="30" customHeight="1" x14ac:dyDescent="0.25">
      <c r="A153" s="29" t="s">
        <v>316</v>
      </c>
      <c r="B153" s="15" t="s">
        <v>317</v>
      </c>
      <c r="C153" s="39" t="s">
        <v>318</v>
      </c>
      <c r="D153" s="37">
        <v>1</v>
      </c>
      <c r="E153" s="46">
        <v>15</v>
      </c>
      <c r="F153" s="37">
        <v>15</v>
      </c>
      <c r="G153" s="39">
        <v>0.5</v>
      </c>
      <c r="H153" s="52"/>
      <c r="I153" s="38" t="s">
        <v>314</v>
      </c>
    </row>
    <row r="154" spans="1:9" ht="30" customHeight="1" x14ac:dyDescent="0.25">
      <c r="A154" s="29" t="s">
        <v>316</v>
      </c>
      <c r="B154" s="15" t="s">
        <v>317</v>
      </c>
      <c r="C154" s="39" t="s">
        <v>318</v>
      </c>
      <c r="D154" s="37">
        <v>1</v>
      </c>
      <c r="E154" s="45">
        <v>24</v>
      </c>
      <c r="F154" s="37">
        <v>24</v>
      </c>
      <c r="G154" s="39">
        <v>0.5</v>
      </c>
      <c r="H154" s="35"/>
      <c r="I154" s="38" t="s">
        <v>314</v>
      </c>
    </row>
    <row r="155" spans="1:9" ht="30" customHeight="1" x14ac:dyDescent="0.25">
      <c r="A155" s="29" t="s">
        <v>319</v>
      </c>
      <c r="B155" s="15" t="s">
        <v>55</v>
      </c>
      <c r="C155" s="39" t="s">
        <v>320</v>
      </c>
      <c r="D155" s="37">
        <v>5</v>
      </c>
      <c r="E155" s="46">
        <v>10</v>
      </c>
      <c r="F155" s="37">
        <v>2</v>
      </c>
      <c r="G155" s="39">
        <v>0.5</v>
      </c>
      <c r="H155" s="52"/>
      <c r="I155" s="38" t="s">
        <v>314</v>
      </c>
    </row>
    <row r="156" spans="1:9" ht="30" customHeight="1" x14ac:dyDescent="0.25">
      <c r="A156" s="29" t="s">
        <v>321</v>
      </c>
      <c r="B156" s="15" t="s">
        <v>55</v>
      </c>
      <c r="C156" s="39" t="s">
        <v>320</v>
      </c>
      <c r="D156" s="37">
        <v>5</v>
      </c>
      <c r="E156" s="46">
        <v>15</v>
      </c>
      <c r="F156" s="37">
        <v>3</v>
      </c>
      <c r="G156" s="39">
        <v>0.5</v>
      </c>
      <c r="H156" s="52"/>
      <c r="I156" s="38" t="s">
        <v>314</v>
      </c>
    </row>
    <row r="157" spans="1:9" ht="30" customHeight="1" x14ac:dyDescent="0.25">
      <c r="A157" s="29" t="s">
        <v>319</v>
      </c>
      <c r="B157" s="15" t="s">
        <v>55</v>
      </c>
      <c r="C157" s="39" t="s">
        <v>320</v>
      </c>
      <c r="D157" s="37">
        <v>5</v>
      </c>
      <c r="E157" s="46">
        <v>20</v>
      </c>
      <c r="F157" s="37">
        <v>4</v>
      </c>
      <c r="G157" s="39">
        <v>0.5</v>
      </c>
      <c r="H157" s="52"/>
      <c r="I157" s="38" t="s">
        <v>314</v>
      </c>
    </row>
    <row r="158" spans="1:9" ht="30" customHeight="1" x14ac:dyDescent="0.25">
      <c r="A158" s="29" t="s">
        <v>319</v>
      </c>
      <c r="B158" s="15" t="s">
        <v>55</v>
      </c>
      <c r="C158" s="39" t="s">
        <v>320</v>
      </c>
      <c r="D158" s="37">
        <v>5</v>
      </c>
      <c r="E158" s="45">
        <v>30</v>
      </c>
      <c r="F158" s="37">
        <v>6</v>
      </c>
      <c r="G158" s="39">
        <v>0.5</v>
      </c>
      <c r="H158" s="52"/>
      <c r="I158" s="38" t="s">
        <v>314</v>
      </c>
    </row>
    <row r="159" spans="1:9" ht="30" customHeight="1" x14ac:dyDescent="0.25">
      <c r="A159" s="29" t="s">
        <v>319</v>
      </c>
      <c r="B159" s="15" t="s">
        <v>55</v>
      </c>
      <c r="C159" s="39" t="s">
        <v>320</v>
      </c>
      <c r="D159" s="37">
        <v>5</v>
      </c>
      <c r="E159" s="46">
        <v>50</v>
      </c>
      <c r="F159" s="37">
        <v>10</v>
      </c>
      <c r="G159" s="39">
        <v>0.5</v>
      </c>
      <c r="H159" s="52"/>
      <c r="I159" s="38" t="s">
        <v>314</v>
      </c>
    </row>
    <row r="160" spans="1:9" ht="30" customHeight="1" x14ac:dyDescent="0.25">
      <c r="A160" s="29" t="s">
        <v>322</v>
      </c>
      <c r="B160" s="15" t="s">
        <v>323</v>
      </c>
      <c r="C160" s="39" t="s">
        <v>324</v>
      </c>
      <c r="D160" s="37">
        <v>10</v>
      </c>
      <c r="E160" s="43">
        <v>20</v>
      </c>
      <c r="F160" s="37">
        <v>2</v>
      </c>
      <c r="G160" s="39">
        <v>0.5</v>
      </c>
      <c r="H160" s="35"/>
      <c r="I160" s="38" t="s">
        <v>307</v>
      </c>
    </row>
    <row r="161" spans="1:9" ht="30" customHeight="1" x14ac:dyDescent="0.25">
      <c r="A161" s="29" t="s">
        <v>322</v>
      </c>
      <c r="B161" s="15" t="s">
        <v>323</v>
      </c>
      <c r="C161" s="39" t="s">
        <v>324</v>
      </c>
      <c r="D161" s="37">
        <v>10</v>
      </c>
      <c r="E161" s="43">
        <v>60</v>
      </c>
      <c r="F161" s="37">
        <v>6</v>
      </c>
      <c r="G161" s="52"/>
      <c r="H161" s="35"/>
      <c r="I161" s="38" t="s">
        <v>307</v>
      </c>
    </row>
    <row r="162" spans="1:9" ht="30" customHeight="1" x14ac:dyDescent="0.25">
      <c r="A162" s="29" t="s">
        <v>325</v>
      </c>
      <c r="B162" s="15" t="s">
        <v>57</v>
      </c>
      <c r="C162" s="39" t="s">
        <v>326</v>
      </c>
      <c r="D162" s="37">
        <v>250</v>
      </c>
      <c r="E162" s="43">
        <v>500</v>
      </c>
      <c r="F162" s="37">
        <v>2</v>
      </c>
      <c r="G162" s="34" t="s">
        <v>93</v>
      </c>
      <c r="H162" s="35"/>
      <c r="I162" s="38" t="s">
        <v>36</v>
      </c>
    </row>
    <row r="163" spans="1:9" ht="30" customHeight="1" x14ac:dyDescent="0.25">
      <c r="A163" s="48" t="s">
        <v>370</v>
      </c>
      <c r="B163" s="15" t="s">
        <v>361</v>
      </c>
      <c r="C163" s="39" t="s">
        <v>371</v>
      </c>
      <c r="D163" s="37">
        <v>12</v>
      </c>
      <c r="E163" s="43">
        <v>468</v>
      </c>
      <c r="F163" s="37">
        <v>39</v>
      </c>
      <c r="G163" s="34" t="s">
        <v>93</v>
      </c>
      <c r="H163" s="35"/>
      <c r="I163" s="38"/>
    </row>
    <row r="164" spans="1:9" ht="30" customHeight="1" x14ac:dyDescent="0.25">
      <c r="A164" s="48"/>
      <c r="B164" s="15" t="s">
        <v>369</v>
      </c>
      <c r="C164" s="39" t="s">
        <v>372</v>
      </c>
      <c r="D164" s="37">
        <v>5</v>
      </c>
      <c r="E164" s="43">
        <v>750</v>
      </c>
      <c r="F164" s="37">
        <v>150</v>
      </c>
      <c r="G164" s="34" t="s">
        <v>93</v>
      </c>
      <c r="H164" s="35"/>
      <c r="I164" s="38"/>
    </row>
    <row r="165" spans="1:9" ht="30" customHeight="1" x14ac:dyDescent="0.25">
      <c r="A165" s="48"/>
      <c r="B165" s="15" t="s">
        <v>363</v>
      </c>
      <c r="C165" s="39" t="s">
        <v>373</v>
      </c>
      <c r="D165" s="37">
        <v>4</v>
      </c>
      <c r="E165" s="43">
        <v>100</v>
      </c>
      <c r="F165" s="37">
        <v>25</v>
      </c>
      <c r="G165" s="49" t="s">
        <v>368</v>
      </c>
      <c r="H165" s="35"/>
      <c r="I165" s="38"/>
    </row>
    <row r="166" spans="1:9" ht="30" customHeight="1" x14ac:dyDescent="0.25">
      <c r="A166" s="48"/>
      <c r="B166" s="15" t="s">
        <v>374</v>
      </c>
      <c r="C166" s="39" t="s">
        <v>375</v>
      </c>
      <c r="D166" s="37">
        <v>1</v>
      </c>
      <c r="E166" s="43">
        <v>15</v>
      </c>
      <c r="F166" s="37">
        <v>15</v>
      </c>
      <c r="G166" s="49">
        <v>0.5</v>
      </c>
      <c r="H166" s="35"/>
      <c r="I166" s="38"/>
    </row>
    <row r="167" spans="1:9" ht="30" customHeight="1" x14ac:dyDescent="0.25">
      <c r="A167" s="48"/>
      <c r="B167" s="15" t="s">
        <v>374</v>
      </c>
      <c r="C167" s="39" t="s">
        <v>375</v>
      </c>
      <c r="D167" s="37">
        <v>1</v>
      </c>
      <c r="E167" s="43">
        <v>25</v>
      </c>
      <c r="F167" s="37">
        <v>25</v>
      </c>
      <c r="G167" s="49">
        <v>0.5</v>
      </c>
      <c r="H167" s="35"/>
      <c r="I167" s="38"/>
    </row>
    <row r="168" spans="1:9" ht="30" customHeight="1" x14ac:dyDescent="0.25">
      <c r="A168" s="48"/>
      <c r="B168" s="15" t="s">
        <v>364</v>
      </c>
      <c r="C168" s="39" t="s">
        <v>376</v>
      </c>
      <c r="D168" s="37">
        <v>12</v>
      </c>
      <c r="E168" s="43">
        <v>12</v>
      </c>
      <c r="F168" s="37">
        <v>1</v>
      </c>
      <c r="G168" s="49">
        <v>0.3</v>
      </c>
      <c r="H168" s="35"/>
      <c r="I168" s="38"/>
    </row>
    <row r="169" spans="1:9" ht="30" customHeight="1" x14ac:dyDescent="0.25">
      <c r="A169" s="48"/>
      <c r="B169" s="15" t="s">
        <v>365</v>
      </c>
      <c r="C169" s="39" t="s">
        <v>377</v>
      </c>
      <c r="D169" s="37">
        <v>5</v>
      </c>
      <c r="E169" s="43">
        <v>300</v>
      </c>
      <c r="F169" s="37">
        <v>60</v>
      </c>
      <c r="G169" s="34" t="s">
        <v>93</v>
      </c>
      <c r="H169" s="35"/>
      <c r="I169" s="38"/>
    </row>
    <row r="170" spans="1:9" ht="30" customHeight="1" x14ac:dyDescent="0.25">
      <c r="E170" s="24"/>
    </row>
    <row r="171" spans="1:9" ht="30" customHeight="1" x14ac:dyDescent="0.25">
      <c r="E171" s="24"/>
    </row>
    <row r="172" spans="1:9" ht="30" customHeight="1" x14ac:dyDescent="0.25">
      <c r="E172" s="24"/>
    </row>
    <row r="173" spans="1:9" ht="30" customHeight="1" x14ac:dyDescent="0.25">
      <c r="E173" s="24"/>
    </row>
    <row r="174" spans="1:9" ht="30" customHeight="1" x14ac:dyDescent="0.25">
      <c r="E174" s="24"/>
    </row>
    <row r="175" spans="1:9" ht="30" customHeight="1" x14ac:dyDescent="0.25">
      <c r="E175" s="24"/>
    </row>
    <row r="176" spans="1:9" ht="30" customHeight="1" x14ac:dyDescent="0.25">
      <c r="E176" s="24"/>
    </row>
    <row r="177" spans="5:5" ht="30" customHeight="1" x14ac:dyDescent="0.25">
      <c r="E177" s="24"/>
    </row>
    <row r="178" spans="5:5" ht="30" customHeight="1" x14ac:dyDescent="0.25">
      <c r="E178" s="24"/>
    </row>
    <row r="179" spans="5:5" ht="30" customHeight="1" x14ac:dyDescent="0.25">
      <c r="E179" s="24"/>
    </row>
    <row r="180" spans="5:5" ht="30" customHeight="1" x14ac:dyDescent="0.25">
      <c r="E180" s="24"/>
    </row>
    <row r="181" spans="5:5" ht="30" customHeight="1" x14ac:dyDescent="0.25">
      <c r="E181" s="24"/>
    </row>
    <row r="182" spans="5:5" ht="30" customHeight="1" x14ac:dyDescent="0.25">
      <c r="E182" s="24"/>
    </row>
    <row r="183" spans="5:5" ht="30" customHeight="1" x14ac:dyDescent="0.25">
      <c r="E183" s="24"/>
    </row>
    <row r="184" spans="5:5" ht="30" customHeight="1" x14ac:dyDescent="0.25">
      <c r="E184" s="24"/>
    </row>
    <row r="185" spans="5:5" ht="30" customHeight="1" x14ac:dyDescent="0.25">
      <c r="E185" s="24"/>
    </row>
    <row r="186" spans="5:5" ht="30" customHeight="1" x14ac:dyDescent="0.25">
      <c r="E186" s="24"/>
    </row>
    <row r="187" spans="5:5" ht="30" customHeight="1" x14ac:dyDescent="0.25">
      <c r="E187" s="24"/>
    </row>
    <row r="188" spans="5:5" ht="30" customHeight="1" x14ac:dyDescent="0.25">
      <c r="E188" s="24"/>
    </row>
    <row r="189" spans="5:5" ht="30" customHeight="1" x14ac:dyDescent="0.25">
      <c r="E189" s="24"/>
    </row>
    <row r="190" spans="5:5" ht="30" customHeight="1" x14ac:dyDescent="0.25">
      <c r="E190" s="24"/>
    </row>
    <row r="191" spans="5:5" ht="30" customHeight="1" x14ac:dyDescent="0.25">
      <c r="E191" s="24"/>
    </row>
    <row r="192" spans="5:5" ht="30" customHeight="1" x14ac:dyDescent="0.25">
      <c r="E192" s="24"/>
    </row>
    <row r="193" spans="5:5" ht="30" customHeight="1" x14ac:dyDescent="0.25">
      <c r="E193" s="24"/>
    </row>
    <row r="194" spans="5:5" ht="30" customHeight="1" x14ac:dyDescent="0.25">
      <c r="E194" s="24"/>
    </row>
    <row r="195" spans="5:5" ht="30" customHeight="1" x14ac:dyDescent="0.25">
      <c r="E195" s="24"/>
    </row>
    <row r="196" spans="5:5" ht="30" customHeight="1" x14ac:dyDescent="0.25">
      <c r="E196" s="24"/>
    </row>
    <row r="197" spans="5:5" ht="30" customHeight="1" x14ac:dyDescent="0.25">
      <c r="E197" s="24"/>
    </row>
    <row r="198" spans="5:5" ht="30" customHeight="1" x14ac:dyDescent="0.25">
      <c r="E198" s="24"/>
    </row>
    <row r="199" spans="5:5" ht="30" customHeight="1" x14ac:dyDescent="0.25">
      <c r="E199" s="24"/>
    </row>
    <row r="200" spans="5:5" ht="30" customHeight="1" x14ac:dyDescent="0.25">
      <c r="E200" s="24"/>
    </row>
    <row r="201" spans="5:5" ht="30" customHeight="1" x14ac:dyDescent="0.25">
      <c r="E201" s="24"/>
    </row>
    <row r="202" spans="5:5" ht="30" customHeight="1" x14ac:dyDescent="0.25">
      <c r="E202" s="24"/>
    </row>
    <row r="203" spans="5:5" ht="30" customHeight="1" x14ac:dyDescent="0.25">
      <c r="E203" s="24"/>
    </row>
    <row r="204" spans="5:5" ht="30" customHeight="1" x14ac:dyDescent="0.25">
      <c r="E204" s="24"/>
    </row>
    <row r="205" spans="5:5" ht="30" customHeight="1" x14ac:dyDescent="0.25">
      <c r="E205" s="24"/>
    </row>
    <row r="206" spans="5:5" ht="30" customHeight="1" x14ac:dyDescent="0.25">
      <c r="E206" s="24"/>
    </row>
    <row r="207" spans="5:5" ht="30" customHeight="1" x14ac:dyDescent="0.25">
      <c r="E207" s="24"/>
    </row>
    <row r="208" spans="5:5" ht="30" customHeight="1" x14ac:dyDescent="0.25">
      <c r="E208" s="24"/>
    </row>
    <row r="209" spans="5:5" ht="30" customHeight="1" x14ac:dyDescent="0.25">
      <c r="E209" s="24"/>
    </row>
    <row r="210" spans="5:5" ht="30" customHeight="1" x14ac:dyDescent="0.25">
      <c r="E210" s="24"/>
    </row>
    <row r="211" spans="5:5" ht="30" customHeight="1" x14ac:dyDescent="0.25">
      <c r="E211" s="24"/>
    </row>
    <row r="212" spans="5:5" ht="30" customHeight="1" x14ac:dyDescent="0.25">
      <c r="E212" s="24"/>
    </row>
    <row r="213" spans="5:5" ht="30" customHeight="1" x14ac:dyDescent="0.25">
      <c r="E213" s="24"/>
    </row>
    <row r="214" spans="5:5" ht="30" customHeight="1" x14ac:dyDescent="0.25">
      <c r="E214" s="24"/>
    </row>
    <row r="215" spans="5:5" ht="30" customHeight="1" x14ac:dyDescent="0.25">
      <c r="E215" s="24"/>
    </row>
    <row r="216" spans="5:5" ht="30" customHeight="1" x14ac:dyDescent="0.25">
      <c r="E216" s="24"/>
    </row>
    <row r="217" spans="5:5" ht="30" customHeight="1" x14ac:dyDescent="0.25">
      <c r="E217" s="24"/>
    </row>
    <row r="218" spans="5:5" ht="30" customHeight="1" x14ac:dyDescent="0.25">
      <c r="E218" s="24"/>
    </row>
    <row r="219" spans="5:5" ht="30" customHeight="1" x14ac:dyDescent="0.25">
      <c r="E219" s="24"/>
    </row>
    <row r="220" spans="5:5" ht="30" customHeight="1" x14ac:dyDescent="0.25">
      <c r="E220" s="24"/>
    </row>
    <row r="221" spans="5:5" ht="30" customHeight="1" x14ac:dyDescent="0.25">
      <c r="E221" s="24"/>
    </row>
    <row r="222" spans="5:5" ht="30" customHeight="1" x14ac:dyDescent="0.25">
      <c r="E222" s="24"/>
    </row>
    <row r="223" spans="5:5" ht="30" customHeight="1" x14ac:dyDescent="0.25">
      <c r="E223" s="24"/>
    </row>
    <row r="224" spans="5:5" ht="30" customHeight="1" x14ac:dyDescent="0.25">
      <c r="E224" s="24"/>
    </row>
    <row r="225" spans="5:5" ht="30" customHeight="1" x14ac:dyDescent="0.25">
      <c r="E225" s="24"/>
    </row>
    <row r="226" spans="5:5" ht="30" customHeight="1" x14ac:dyDescent="0.25">
      <c r="E226" s="24"/>
    </row>
    <row r="227" spans="5:5" ht="30" customHeight="1" x14ac:dyDescent="0.25">
      <c r="E227" s="24"/>
    </row>
    <row r="228" spans="5:5" ht="30" customHeight="1" x14ac:dyDescent="0.25">
      <c r="E228" s="24"/>
    </row>
    <row r="229" spans="5:5" ht="30" customHeight="1" x14ac:dyDescent="0.25">
      <c r="E229" s="24"/>
    </row>
    <row r="230" spans="5:5" ht="30" customHeight="1" x14ac:dyDescent="0.25">
      <c r="E230" s="24"/>
    </row>
    <row r="231" spans="5:5" ht="30" customHeight="1" x14ac:dyDescent="0.25">
      <c r="E231" s="24"/>
    </row>
    <row r="232" spans="5:5" ht="30" customHeight="1" x14ac:dyDescent="0.25">
      <c r="E232" s="24"/>
    </row>
    <row r="233" spans="5:5" ht="30" customHeight="1" x14ac:dyDescent="0.25">
      <c r="E233" s="24"/>
    </row>
    <row r="234" spans="5:5" ht="30" customHeight="1" x14ac:dyDescent="0.25">
      <c r="E234" s="24"/>
    </row>
    <row r="235" spans="5:5" ht="30" customHeight="1" x14ac:dyDescent="0.25">
      <c r="E235" s="24"/>
    </row>
    <row r="236" spans="5:5" ht="30" customHeight="1" x14ac:dyDescent="0.25">
      <c r="E236" s="24"/>
    </row>
    <row r="237" spans="5:5" ht="30" customHeight="1" x14ac:dyDescent="0.25">
      <c r="E237" s="24"/>
    </row>
    <row r="238" spans="5:5" ht="30" customHeight="1" x14ac:dyDescent="0.25">
      <c r="E238" s="24"/>
    </row>
    <row r="239" spans="5:5" ht="30" customHeight="1" x14ac:dyDescent="0.25">
      <c r="E239" s="24"/>
    </row>
    <row r="240" spans="5:5" ht="30" customHeight="1" x14ac:dyDescent="0.25">
      <c r="E240" s="24"/>
    </row>
    <row r="241" spans="5:5" ht="30" customHeight="1" x14ac:dyDescent="0.25">
      <c r="E241" s="24"/>
    </row>
    <row r="242" spans="5:5" ht="30" customHeight="1" x14ac:dyDescent="0.25">
      <c r="E242" s="24"/>
    </row>
    <row r="243" spans="5:5" ht="30" customHeight="1" x14ac:dyDescent="0.25">
      <c r="E243" s="24"/>
    </row>
    <row r="244" spans="5:5" ht="30" customHeight="1" x14ac:dyDescent="0.25">
      <c r="E244" s="24"/>
    </row>
    <row r="245" spans="5:5" ht="30" customHeight="1" x14ac:dyDescent="0.25">
      <c r="E245" s="24"/>
    </row>
    <row r="246" spans="5:5" ht="30" customHeight="1" x14ac:dyDescent="0.25">
      <c r="E246" s="24"/>
    </row>
    <row r="247" spans="5:5" ht="30" customHeight="1" x14ac:dyDescent="0.25">
      <c r="E247" s="24"/>
    </row>
    <row r="248" spans="5:5" ht="30" customHeight="1" x14ac:dyDescent="0.25">
      <c r="E248" s="24"/>
    </row>
    <row r="249" spans="5:5" ht="30" customHeight="1" x14ac:dyDescent="0.25">
      <c r="E249" s="24"/>
    </row>
    <row r="250" spans="5:5" ht="30" customHeight="1" x14ac:dyDescent="0.25">
      <c r="E250" s="24"/>
    </row>
    <row r="251" spans="5:5" ht="30" customHeight="1" x14ac:dyDescent="0.25">
      <c r="E251" s="24"/>
    </row>
    <row r="252" spans="5:5" ht="30" customHeight="1" x14ac:dyDescent="0.25">
      <c r="E252" s="24"/>
    </row>
    <row r="253" spans="5:5" ht="30" customHeight="1" x14ac:dyDescent="0.25">
      <c r="E253" s="24"/>
    </row>
    <row r="254" spans="5:5" ht="30" customHeight="1" x14ac:dyDescent="0.25">
      <c r="E254" s="24"/>
    </row>
    <row r="255" spans="5:5" ht="30" customHeight="1" x14ac:dyDescent="0.25">
      <c r="E255" s="24"/>
    </row>
    <row r="256" spans="5:5" ht="30" customHeight="1" x14ac:dyDescent="0.25">
      <c r="E256" s="24"/>
    </row>
    <row r="257" spans="5:5" ht="30" customHeight="1" x14ac:dyDescent="0.25">
      <c r="E257" s="24"/>
    </row>
    <row r="258" spans="5:5" ht="30" customHeight="1" x14ac:dyDescent="0.25">
      <c r="E258" s="24"/>
    </row>
    <row r="259" spans="5:5" ht="30" customHeight="1" x14ac:dyDescent="0.25">
      <c r="E259" s="24"/>
    </row>
    <row r="260" spans="5:5" ht="30" customHeight="1" x14ac:dyDescent="0.25">
      <c r="E260" s="24"/>
    </row>
    <row r="261" spans="5:5" ht="30" customHeight="1" x14ac:dyDescent="0.25">
      <c r="E261" s="24"/>
    </row>
    <row r="262" spans="5:5" ht="30" customHeight="1" x14ac:dyDescent="0.25">
      <c r="E262" s="24"/>
    </row>
    <row r="263" spans="5:5" ht="30" customHeight="1" x14ac:dyDescent="0.25">
      <c r="E263" s="24"/>
    </row>
    <row r="264" spans="5:5" ht="30" customHeight="1" x14ac:dyDescent="0.25">
      <c r="E264" s="24"/>
    </row>
    <row r="265" spans="5:5" ht="30" customHeight="1" x14ac:dyDescent="0.25">
      <c r="E265" s="24"/>
    </row>
    <row r="266" spans="5:5" ht="30" customHeight="1" x14ac:dyDescent="0.25">
      <c r="E266" s="24"/>
    </row>
    <row r="267" spans="5:5" ht="30" customHeight="1" x14ac:dyDescent="0.25">
      <c r="E267" s="24"/>
    </row>
    <row r="268" spans="5:5" ht="30" customHeight="1" x14ac:dyDescent="0.25">
      <c r="E268" s="24"/>
    </row>
    <row r="269" spans="5:5" ht="30" customHeight="1" x14ac:dyDescent="0.25">
      <c r="E269" s="24"/>
    </row>
    <row r="270" spans="5:5" ht="30" customHeight="1" x14ac:dyDescent="0.25">
      <c r="E270" s="24"/>
    </row>
    <row r="271" spans="5:5" ht="30" customHeight="1" x14ac:dyDescent="0.25">
      <c r="E271" s="24"/>
    </row>
    <row r="272" spans="5:5" ht="30" customHeight="1" x14ac:dyDescent="0.25">
      <c r="E272" s="24"/>
    </row>
    <row r="273" spans="5:5" ht="30" customHeight="1" x14ac:dyDescent="0.25">
      <c r="E273" s="24"/>
    </row>
    <row r="274" spans="5:5" ht="30" customHeight="1" x14ac:dyDescent="0.25">
      <c r="E274" s="24"/>
    </row>
    <row r="275" spans="5:5" ht="30" customHeight="1" x14ac:dyDescent="0.25">
      <c r="E275" s="24"/>
    </row>
    <row r="276" spans="5:5" ht="30" customHeight="1" x14ac:dyDescent="0.25">
      <c r="E276" s="24"/>
    </row>
    <row r="277" spans="5:5" ht="30" customHeight="1" x14ac:dyDescent="0.25">
      <c r="E277" s="24"/>
    </row>
    <row r="278" spans="5:5" ht="30" customHeight="1" x14ac:dyDescent="0.25">
      <c r="E278" s="24"/>
    </row>
    <row r="279" spans="5:5" ht="30" customHeight="1" x14ac:dyDescent="0.25">
      <c r="E279" s="24"/>
    </row>
    <row r="280" spans="5:5" ht="30" customHeight="1" x14ac:dyDescent="0.25">
      <c r="E280" s="24"/>
    </row>
    <row r="281" spans="5:5" ht="30" customHeight="1" x14ac:dyDescent="0.25">
      <c r="E281" s="24"/>
    </row>
    <row r="282" spans="5:5" ht="30" customHeight="1" x14ac:dyDescent="0.25">
      <c r="E282" s="24"/>
    </row>
    <row r="283" spans="5:5" ht="30" customHeight="1" x14ac:dyDescent="0.25">
      <c r="E283" s="24"/>
    </row>
    <row r="284" spans="5:5" ht="30" customHeight="1" x14ac:dyDescent="0.25">
      <c r="E284" s="24"/>
    </row>
    <row r="285" spans="5:5" ht="30" customHeight="1" x14ac:dyDescent="0.25">
      <c r="E285" s="24"/>
    </row>
    <row r="286" spans="5:5" ht="30" customHeight="1" x14ac:dyDescent="0.25">
      <c r="E286" s="24"/>
    </row>
    <row r="287" spans="5:5" ht="30" customHeight="1" x14ac:dyDescent="0.25">
      <c r="E287" s="24"/>
    </row>
    <row r="288" spans="5:5" ht="30" customHeight="1" x14ac:dyDescent="0.25">
      <c r="E288" s="24"/>
    </row>
    <row r="289" spans="5:5" ht="30" customHeight="1" x14ac:dyDescent="0.25">
      <c r="E289" s="24"/>
    </row>
    <row r="290" spans="5:5" ht="30" customHeight="1" x14ac:dyDescent="0.25">
      <c r="E290" s="24"/>
    </row>
    <row r="291" spans="5:5" ht="30" customHeight="1" x14ac:dyDescent="0.25">
      <c r="E291" s="24"/>
    </row>
    <row r="292" spans="5:5" ht="30" customHeight="1" x14ac:dyDescent="0.25">
      <c r="E292" s="24"/>
    </row>
    <row r="293" spans="5:5" ht="30" customHeight="1" x14ac:dyDescent="0.25">
      <c r="E293" s="24"/>
    </row>
    <row r="294" spans="5:5" ht="30" customHeight="1" x14ac:dyDescent="0.25">
      <c r="E294" s="24"/>
    </row>
    <row r="295" spans="5:5" ht="30" customHeight="1" x14ac:dyDescent="0.25">
      <c r="E295" s="24"/>
    </row>
    <row r="296" spans="5:5" ht="30" customHeight="1" x14ac:dyDescent="0.25">
      <c r="E296" s="24"/>
    </row>
    <row r="297" spans="5:5" ht="30" customHeight="1" x14ac:dyDescent="0.25">
      <c r="E297" s="24"/>
    </row>
    <row r="298" spans="5:5" ht="30" customHeight="1" x14ac:dyDescent="0.25">
      <c r="E298" s="24"/>
    </row>
    <row r="299" spans="5:5" ht="30" customHeight="1" x14ac:dyDescent="0.25">
      <c r="E299" s="24"/>
    </row>
    <row r="300" spans="5:5" ht="30" customHeight="1" x14ac:dyDescent="0.25">
      <c r="E300" s="24"/>
    </row>
    <row r="301" spans="5:5" ht="30" customHeight="1" x14ac:dyDescent="0.25">
      <c r="E301" s="24"/>
    </row>
    <row r="302" spans="5:5" ht="30" customHeight="1" x14ac:dyDescent="0.25">
      <c r="E302" s="24"/>
    </row>
    <row r="303" spans="5:5" ht="30" customHeight="1" x14ac:dyDescent="0.25">
      <c r="E303" s="24"/>
    </row>
    <row r="304" spans="5:5" ht="30" customHeight="1" x14ac:dyDescent="0.25">
      <c r="E304" s="24"/>
    </row>
    <row r="305" spans="5:5" ht="30" customHeight="1" x14ac:dyDescent="0.25">
      <c r="E305" s="24"/>
    </row>
    <row r="306" spans="5:5" ht="30" customHeight="1" x14ac:dyDescent="0.25">
      <c r="E306" s="24"/>
    </row>
    <row r="307" spans="5:5" ht="30" customHeight="1" x14ac:dyDescent="0.25">
      <c r="E307" s="24"/>
    </row>
    <row r="308" spans="5:5" ht="30" customHeight="1" x14ac:dyDescent="0.25">
      <c r="E308" s="24"/>
    </row>
    <row r="309" spans="5:5" ht="30" customHeight="1" x14ac:dyDescent="0.25">
      <c r="E309" s="24"/>
    </row>
    <row r="310" spans="5:5" ht="30" customHeight="1" x14ac:dyDescent="0.25">
      <c r="E310" s="24"/>
    </row>
    <row r="311" spans="5:5" ht="30" customHeight="1" x14ac:dyDescent="0.25">
      <c r="E311" s="24"/>
    </row>
    <row r="312" spans="5:5" ht="30" customHeight="1" x14ac:dyDescent="0.25">
      <c r="E312" s="24"/>
    </row>
    <row r="313" spans="5:5" ht="30" customHeight="1" x14ac:dyDescent="0.25">
      <c r="E313" s="24"/>
    </row>
    <row r="314" spans="5:5" ht="30" customHeight="1" x14ac:dyDescent="0.25">
      <c r="E314" s="24"/>
    </row>
    <row r="315" spans="5:5" ht="30" customHeight="1" x14ac:dyDescent="0.25">
      <c r="E315" s="24"/>
    </row>
    <row r="316" spans="5:5" ht="30" customHeight="1" x14ac:dyDescent="0.25">
      <c r="E316" s="24"/>
    </row>
    <row r="317" spans="5:5" ht="30" customHeight="1" x14ac:dyDescent="0.25">
      <c r="E317" s="24"/>
    </row>
    <row r="318" spans="5:5" ht="30" customHeight="1" x14ac:dyDescent="0.25">
      <c r="E318" s="24"/>
    </row>
    <row r="319" spans="5:5" ht="30" customHeight="1" x14ac:dyDescent="0.25">
      <c r="E319" s="24"/>
    </row>
    <row r="320" spans="5:5" ht="30" customHeight="1" x14ac:dyDescent="0.25">
      <c r="E320" s="24"/>
    </row>
    <row r="321" spans="5:5" ht="30" customHeight="1" x14ac:dyDescent="0.25">
      <c r="E321" s="24"/>
    </row>
    <row r="322" spans="5:5" ht="30" customHeight="1" x14ac:dyDescent="0.25">
      <c r="E322" s="24"/>
    </row>
    <row r="323" spans="5:5" ht="30" customHeight="1" x14ac:dyDescent="0.25">
      <c r="E323" s="24"/>
    </row>
    <row r="324" spans="5:5" ht="30" customHeight="1" x14ac:dyDescent="0.25">
      <c r="E324" s="24"/>
    </row>
    <row r="325" spans="5:5" ht="30" customHeight="1" x14ac:dyDescent="0.25">
      <c r="E325" s="24"/>
    </row>
    <row r="326" spans="5:5" ht="30" customHeight="1" x14ac:dyDescent="0.25">
      <c r="E326" s="24"/>
    </row>
    <row r="327" spans="5:5" ht="30" customHeight="1" x14ac:dyDescent="0.25">
      <c r="E327" s="24"/>
    </row>
    <row r="328" spans="5:5" ht="30" customHeight="1" x14ac:dyDescent="0.25">
      <c r="E328" s="24"/>
    </row>
    <row r="329" spans="5:5" ht="30" customHeight="1" x14ac:dyDescent="0.25">
      <c r="E329" s="24"/>
    </row>
    <row r="330" spans="5:5" ht="30" customHeight="1" x14ac:dyDescent="0.25">
      <c r="E330" s="24"/>
    </row>
    <row r="331" spans="5:5" ht="30" customHeight="1" x14ac:dyDescent="0.25">
      <c r="E331" s="24"/>
    </row>
    <row r="332" spans="5:5" ht="30" customHeight="1" x14ac:dyDescent="0.25">
      <c r="E332" s="24"/>
    </row>
    <row r="333" spans="5:5" ht="30" customHeight="1" x14ac:dyDescent="0.25">
      <c r="E333" s="24"/>
    </row>
    <row r="334" spans="5:5" ht="30" customHeight="1" x14ac:dyDescent="0.25">
      <c r="E334" s="24"/>
    </row>
    <row r="335" spans="5:5" ht="30" customHeight="1" x14ac:dyDescent="0.25">
      <c r="E335" s="24"/>
    </row>
    <row r="336" spans="5:5" ht="30" customHeight="1" x14ac:dyDescent="0.25">
      <c r="E336" s="24"/>
    </row>
    <row r="337" spans="5:5" ht="30" customHeight="1" x14ac:dyDescent="0.25">
      <c r="E337" s="24"/>
    </row>
    <row r="338" spans="5:5" ht="30" customHeight="1" x14ac:dyDescent="0.25">
      <c r="E338" s="24"/>
    </row>
    <row r="339" spans="5:5" ht="30" customHeight="1" x14ac:dyDescent="0.25">
      <c r="E339" s="24"/>
    </row>
    <row r="340" spans="5:5" ht="30" customHeight="1" x14ac:dyDescent="0.25">
      <c r="E340" s="24"/>
    </row>
    <row r="341" spans="5:5" ht="30" customHeight="1" x14ac:dyDescent="0.25">
      <c r="E341" s="24"/>
    </row>
    <row r="342" spans="5:5" ht="30" customHeight="1" x14ac:dyDescent="0.25">
      <c r="E342" s="24"/>
    </row>
    <row r="343" spans="5:5" ht="30" customHeight="1" x14ac:dyDescent="0.25">
      <c r="E343" s="24"/>
    </row>
    <row r="344" spans="5:5" ht="30" customHeight="1" x14ac:dyDescent="0.25">
      <c r="E344" s="24"/>
    </row>
    <row r="345" spans="5:5" ht="30" customHeight="1" x14ac:dyDescent="0.25">
      <c r="E345" s="24"/>
    </row>
    <row r="346" spans="5:5" ht="30" customHeight="1" x14ac:dyDescent="0.25">
      <c r="E346" s="24"/>
    </row>
    <row r="347" spans="5:5" ht="30" customHeight="1" x14ac:dyDescent="0.25">
      <c r="E347" s="24"/>
    </row>
    <row r="348" spans="5:5" ht="30" customHeight="1" x14ac:dyDescent="0.25">
      <c r="E348" s="24"/>
    </row>
    <row r="349" spans="5:5" ht="30" customHeight="1" x14ac:dyDescent="0.25">
      <c r="E349" s="24"/>
    </row>
    <row r="350" spans="5:5" ht="30" customHeight="1" x14ac:dyDescent="0.25">
      <c r="E350" s="24"/>
    </row>
    <row r="351" spans="5:5" ht="30" customHeight="1" x14ac:dyDescent="0.25">
      <c r="E351" s="24"/>
    </row>
    <row r="352" spans="5:5" ht="30" customHeight="1" x14ac:dyDescent="0.25">
      <c r="E352" s="24"/>
    </row>
    <row r="353" spans="5:5" ht="30" customHeight="1" x14ac:dyDescent="0.25">
      <c r="E353" s="24"/>
    </row>
    <row r="354" spans="5:5" ht="30" customHeight="1" x14ac:dyDescent="0.25">
      <c r="E354" s="24"/>
    </row>
    <row r="355" spans="5:5" ht="30" customHeight="1" x14ac:dyDescent="0.25">
      <c r="E355" s="24"/>
    </row>
    <row r="356" spans="5:5" ht="30" customHeight="1" x14ac:dyDescent="0.25">
      <c r="E356" s="24"/>
    </row>
    <row r="357" spans="5:5" ht="30" customHeight="1" x14ac:dyDescent="0.25">
      <c r="E357" s="24"/>
    </row>
    <row r="358" spans="5:5" ht="30" customHeight="1" x14ac:dyDescent="0.25">
      <c r="E358" s="24"/>
    </row>
    <row r="359" spans="5:5" ht="30" customHeight="1" x14ac:dyDescent="0.25">
      <c r="E359" s="24"/>
    </row>
    <row r="360" spans="5:5" ht="30" customHeight="1" x14ac:dyDescent="0.25">
      <c r="E360" s="24"/>
    </row>
    <row r="361" spans="5:5" ht="30" customHeight="1" x14ac:dyDescent="0.25">
      <c r="E361" s="24"/>
    </row>
    <row r="362" spans="5:5" ht="30" customHeight="1" x14ac:dyDescent="0.25">
      <c r="E362" s="24"/>
    </row>
    <row r="363" spans="5:5" ht="30" customHeight="1" x14ac:dyDescent="0.25">
      <c r="E363" s="24"/>
    </row>
    <row r="364" spans="5:5" ht="30" customHeight="1" x14ac:dyDescent="0.25">
      <c r="E364" s="24"/>
    </row>
    <row r="365" spans="5:5" ht="30" customHeight="1" x14ac:dyDescent="0.25">
      <c r="E365" s="24"/>
    </row>
    <row r="366" spans="5:5" ht="30" customHeight="1" x14ac:dyDescent="0.25">
      <c r="E366" s="24"/>
    </row>
    <row r="367" spans="5:5" ht="30" customHeight="1" x14ac:dyDescent="0.25">
      <c r="E367" s="24"/>
    </row>
    <row r="368" spans="5:5" ht="30" customHeight="1" x14ac:dyDescent="0.25">
      <c r="E368" s="24"/>
    </row>
    <row r="369" spans="5:5" ht="30" customHeight="1" x14ac:dyDescent="0.25">
      <c r="E369" s="24"/>
    </row>
    <row r="370" spans="5:5" ht="30" customHeight="1" x14ac:dyDescent="0.25">
      <c r="E370" s="24"/>
    </row>
    <row r="371" spans="5:5" ht="30" customHeight="1" x14ac:dyDescent="0.25">
      <c r="E371" s="24"/>
    </row>
    <row r="372" spans="5:5" ht="30" customHeight="1" x14ac:dyDescent="0.25">
      <c r="E372" s="24"/>
    </row>
    <row r="373" spans="5:5" ht="30" customHeight="1" x14ac:dyDescent="0.25">
      <c r="E373" s="24"/>
    </row>
    <row r="374" spans="5:5" ht="30" customHeight="1" x14ac:dyDescent="0.25">
      <c r="E374" s="24"/>
    </row>
    <row r="375" spans="5:5" ht="30" customHeight="1" x14ac:dyDescent="0.25">
      <c r="E375" s="24"/>
    </row>
    <row r="376" spans="5:5" ht="30" customHeight="1" x14ac:dyDescent="0.25">
      <c r="E376" s="24"/>
    </row>
    <row r="377" spans="5:5" ht="30" customHeight="1" x14ac:dyDescent="0.25">
      <c r="E377" s="24"/>
    </row>
    <row r="378" spans="5:5" ht="30" customHeight="1" x14ac:dyDescent="0.25">
      <c r="E378" s="24"/>
    </row>
    <row r="379" spans="5:5" ht="30" customHeight="1" x14ac:dyDescent="0.25">
      <c r="E379" s="24"/>
    </row>
    <row r="380" spans="5:5" ht="30" customHeight="1" x14ac:dyDescent="0.25">
      <c r="E380" s="24"/>
    </row>
    <row r="381" spans="5:5" ht="30" customHeight="1" x14ac:dyDescent="0.25">
      <c r="E381" s="24"/>
    </row>
    <row r="382" spans="5:5" ht="30" customHeight="1" x14ac:dyDescent="0.25">
      <c r="E382" s="24"/>
    </row>
    <row r="383" spans="5:5" ht="30" customHeight="1" x14ac:dyDescent="0.25">
      <c r="E383" s="24"/>
    </row>
    <row r="384" spans="5:5" ht="30" customHeight="1" x14ac:dyDescent="0.25">
      <c r="E384" s="24"/>
    </row>
    <row r="385" spans="5:5" ht="30" customHeight="1" x14ac:dyDescent="0.25">
      <c r="E385" s="24"/>
    </row>
    <row r="386" spans="5:5" ht="30" customHeight="1" x14ac:dyDescent="0.25">
      <c r="E386" s="24"/>
    </row>
    <row r="387" spans="5:5" ht="30" customHeight="1" x14ac:dyDescent="0.25">
      <c r="E387" s="24"/>
    </row>
    <row r="388" spans="5:5" ht="30" customHeight="1" x14ac:dyDescent="0.25">
      <c r="E388" s="24"/>
    </row>
    <row r="389" spans="5:5" ht="30" customHeight="1" x14ac:dyDescent="0.25">
      <c r="E389" s="24"/>
    </row>
    <row r="390" spans="5:5" ht="30" customHeight="1" x14ac:dyDescent="0.25">
      <c r="E390" s="24"/>
    </row>
    <row r="391" spans="5:5" ht="30" customHeight="1" x14ac:dyDescent="0.25">
      <c r="E391" s="24"/>
    </row>
    <row r="392" spans="5:5" ht="30" customHeight="1" x14ac:dyDescent="0.25">
      <c r="E392" s="24"/>
    </row>
    <row r="393" spans="5:5" ht="30" customHeight="1" x14ac:dyDescent="0.25">
      <c r="E393" s="24"/>
    </row>
    <row r="394" spans="5:5" ht="30" customHeight="1" x14ac:dyDescent="0.25">
      <c r="E394" s="24"/>
    </row>
    <row r="395" spans="5:5" ht="30" customHeight="1" x14ac:dyDescent="0.25">
      <c r="E395" s="24"/>
    </row>
    <row r="396" spans="5:5" ht="30" customHeight="1" x14ac:dyDescent="0.25">
      <c r="E396" s="24"/>
    </row>
    <row r="397" spans="5:5" ht="30" customHeight="1" x14ac:dyDescent="0.25">
      <c r="E397" s="24"/>
    </row>
    <row r="398" spans="5:5" ht="30" customHeight="1" x14ac:dyDescent="0.25">
      <c r="E398" s="24"/>
    </row>
    <row r="399" spans="5:5" ht="30" customHeight="1" x14ac:dyDescent="0.25">
      <c r="E399" s="24"/>
    </row>
    <row r="400" spans="5:5" ht="30" customHeight="1" x14ac:dyDescent="0.25">
      <c r="E400" s="24"/>
    </row>
    <row r="401" spans="5:5" ht="30" customHeight="1" x14ac:dyDescent="0.25">
      <c r="E401" s="24"/>
    </row>
    <row r="402" spans="5:5" ht="30" customHeight="1" x14ac:dyDescent="0.25">
      <c r="E402" s="24"/>
    </row>
    <row r="403" spans="5:5" ht="30" customHeight="1" x14ac:dyDescent="0.25">
      <c r="E403" s="24"/>
    </row>
    <row r="404" spans="5:5" ht="30" customHeight="1" x14ac:dyDescent="0.25">
      <c r="E404" s="24"/>
    </row>
    <row r="405" spans="5:5" ht="30" customHeight="1" x14ac:dyDescent="0.25">
      <c r="E405" s="24"/>
    </row>
    <row r="406" spans="5:5" ht="30" customHeight="1" x14ac:dyDescent="0.25">
      <c r="E406" s="24"/>
    </row>
    <row r="407" spans="5:5" ht="30" customHeight="1" x14ac:dyDescent="0.25">
      <c r="E407" s="24"/>
    </row>
    <row r="408" spans="5:5" ht="30" customHeight="1" x14ac:dyDescent="0.25">
      <c r="E408" s="24"/>
    </row>
    <row r="409" spans="5:5" ht="30" customHeight="1" x14ac:dyDescent="0.25">
      <c r="E409" s="24"/>
    </row>
    <row r="410" spans="5:5" ht="30" customHeight="1" x14ac:dyDescent="0.25">
      <c r="E410" s="24"/>
    </row>
    <row r="411" spans="5:5" ht="30" customHeight="1" x14ac:dyDescent="0.25">
      <c r="E411" s="24"/>
    </row>
    <row r="412" spans="5:5" ht="30" customHeight="1" x14ac:dyDescent="0.25">
      <c r="E412" s="24"/>
    </row>
    <row r="413" spans="5:5" ht="30" customHeight="1" x14ac:dyDescent="0.25">
      <c r="E413" s="24"/>
    </row>
    <row r="414" spans="5:5" ht="30" customHeight="1" x14ac:dyDescent="0.25">
      <c r="E414" s="24"/>
    </row>
    <row r="415" spans="5:5" ht="30" customHeight="1" x14ac:dyDescent="0.25">
      <c r="E415" s="24"/>
    </row>
    <row r="416" spans="5:5" ht="30" customHeight="1" x14ac:dyDescent="0.25">
      <c r="E416" s="24"/>
    </row>
    <row r="417" spans="5:5" ht="30" customHeight="1" x14ac:dyDescent="0.25">
      <c r="E417" s="24"/>
    </row>
    <row r="418" spans="5:5" ht="30" customHeight="1" x14ac:dyDescent="0.25">
      <c r="E418" s="24"/>
    </row>
    <row r="419" spans="5:5" ht="30" customHeight="1" x14ac:dyDescent="0.25">
      <c r="E419" s="24"/>
    </row>
    <row r="420" spans="5:5" ht="30" customHeight="1" x14ac:dyDescent="0.25">
      <c r="E420" s="24"/>
    </row>
    <row r="421" spans="5:5" ht="30" customHeight="1" x14ac:dyDescent="0.25">
      <c r="E421" s="24"/>
    </row>
    <row r="422" spans="5:5" ht="30" customHeight="1" x14ac:dyDescent="0.25">
      <c r="E422" s="24"/>
    </row>
    <row r="423" spans="5:5" ht="30" customHeight="1" x14ac:dyDescent="0.25">
      <c r="E423" s="24"/>
    </row>
    <row r="424" spans="5:5" ht="30" customHeight="1" x14ac:dyDescent="0.25">
      <c r="E424" s="24"/>
    </row>
    <row r="425" spans="5:5" ht="30" customHeight="1" x14ac:dyDescent="0.25">
      <c r="E425" s="24"/>
    </row>
    <row r="426" spans="5:5" ht="30" customHeight="1" x14ac:dyDescent="0.25">
      <c r="E426" s="24"/>
    </row>
    <row r="427" spans="5:5" ht="30" customHeight="1" x14ac:dyDescent="0.25">
      <c r="E427" s="24"/>
    </row>
    <row r="428" spans="5:5" ht="30" customHeight="1" x14ac:dyDescent="0.25">
      <c r="E428" s="24"/>
    </row>
    <row r="429" spans="5:5" ht="30" customHeight="1" x14ac:dyDescent="0.25">
      <c r="E429" s="24"/>
    </row>
    <row r="430" spans="5:5" ht="30" customHeight="1" x14ac:dyDescent="0.25">
      <c r="E430" s="24"/>
    </row>
    <row r="431" spans="5:5" ht="30" customHeight="1" x14ac:dyDescent="0.25">
      <c r="E431" s="24"/>
    </row>
    <row r="432" spans="5:5" ht="30" customHeight="1" x14ac:dyDescent="0.25">
      <c r="E432" s="24"/>
    </row>
    <row r="433" spans="5:5" ht="30" customHeight="1" x14ac:dyDescent="0.25">
      <c r="E433" s="24"/>
    </row>
    <row r="434" spans="5:5" ht="30" customHeight="1" x14ac:dyDescent="0.25">
      <c r="E434" s="24"/>
    </row>
    <row r="435" spans="5:5" ht="30" customHeight="1" x14ac:dyDescent="0.25">
      <c r="E435" s="24"/>
    </row>
    <row r="436" spans="5:5" ht="30" customHeight="1" x14ac:dyDescent="0.25">
      <c r="E436" s="24"/>
    </row>
    <row r="437" spans="5:5" ht="30" customHeight="1" x14ac:dyDescent="0.25">
      <c r="E437" s="24"/>
    </row>
    <row r="438" spans="5:5" ht="30" customHeight="1" x14ac:dyDescent="0.25">
      <c r="E438" s="24"/>
    </row>
    <row r="439" spans="5:5" ht="30" customHeight="1" x14ac:dyDescent="0.25">
      <c r="E439" s="24"/>
    </row>
    <row r="440" spans="5:5" ht="30" customHeight="1" x14ac:dyDescent="0.25">
      <c r="E440" s="24"/>
    </row>
    <row r="441" spans="5:5" ht="30" customHeight="1" x14ac:dyDescent="0.25">
      <c r="E441" s="24"/>
    </row>
    <row r="442" spans="5:5" ht="30" customHeight="1" x14ac:dyDescent="0.25">
      <c r="E442" s="24"/>
    </row>
    <row r="443" spans="5:5" ht="30" customHeight="1" x14ac:dyDescent="0.25">
      <c r="E443" s="24"/>
    </row>
    <row r="444" spans="5:5" ht="30" customHeight="1" x14ac:dyDescent="0.25">
      <c r="E444" s="24"/>
    </row>
    <row r="445" spans="5:5" ht="30" customHeight="1" x14ac:dyDescent="0.25">
      <c r="E445" s="24"/>
    </row>
    <row r="446" spans="5:5" ht="30" customHeight="1" x14ac:dyDescent="0.25">
      <c r="E446" s="24"/>
    </row>
    <row r="447" spans="5:5" ht="30" customHeight="1" x14ac:dyDescent="0.25">
      <c r="E447" s="24"/>
    </row>
    <row r="448" spans="5:5" ht="30" customHeight="1" x14ac:dyDescent="0.25">
      <c r="E448" s="24"/>
    </row>
    <row r="449" spans="5:5" ht="30" customHeight="1" x14ac:dyDescent="0.25">
      <c r="E449" s="24"/>
    </row>
    <row r="450" spans="5:5" ht="30" customHeight="1" x14ac:dyDescent="0.25">
      <c r="E450" s="24"/>
    </row>
    <row r="451" spans="5:5" ht="30" customHeight="1" x14ac:dyDescent="0.25">
      <c r="E451" s="24"/>
    </row>
    <row r="452" spans="5:5" ht="30" customHeight="1" x14ac:dyDescent="0.25">
      <c r="E452" s="24"/>
    </row>
    <row r="453" spans="5:5" ht="30" customHeight="1" x14ac:dyDescent="0.25">
      <c r="E453" s="24"/>
    </row>
    <row r="454" spans="5:5" ht="30" customHeight="1" x14ac:dyDescent="0.25">
      <c r="E454" s="24"/>
    </row>
    <row r="455" spans="5:5" ht="30" customHeight="1" x14ac:dyDescent="0.25">
      <c r="E455" s="24"/>
    </row>
    <row r="456" spans="5:5" ht="30" customHeight="1" x14ac:dyDescent="0.25">
      <c r="E456" s="24"/>
    </row>
    <row r="457" spans="5:5" ht="30" customHeight="1" x14ac:dyDescent="0.25">
      <c r="E457" s="24"/>
    </row>
    <row r="458" spans="5:5" ht="30" customHeight="1" x14ac:dyDescent="0.25">
      <c r="E458" s="24"/>
    </row>
    <row r="459" spans="5:5" ht="30" customHeight="1" x14ac:dyDescent="0.25">
      <c r="E459" s="24"/>
    </row>
    <row r="460" spans="5:5" ht="30" customHeight="1" x14ac:dyDescent="0.25">
      <c r="E460" s="24"/>
    </row>
    <row r="461" spans="5:5" ht="30" customHeight="1" x14ac:dyDescent="0.25">
      <c r="E461" s="24"/>
    </row>
    <row r="462" spans="5:5" ht="30" customHeight="1" x14ac:dyDescent="0.25">
      <c r="E462" s="24"/>
    </row>
    <row r="463" spans="5:5" ht="30" customHeight="1" x14ac:dyDescent="0.25">
      <c r="E463" s="24"/>
    </row>
    <row r="464" spans="5:5" ht="30" customHeight="1" x14ac:dyDescent="0.25">
      <c r="E464" s="24"/>
    </row>
    <row r="465" spans="5:5" ht="30" customHeight="1" x14ac:dyDescent="0.25">
      <c r="E465" s="24"/>
    </row>
    <row r="466" spans="5:5" ht="30" customHeight="1" x14ac:dyDescent="0.25">
      <c r="E466" s="24"/>
    </row>
    <row r="467" spans="5:5" ht="30" customHeight="1" x14ac:dyDescent="0.25">
      <c r="E467" s="24"/>
    </row>
    <row r="468" spans="5:5" ht="30" customHeight="1" x14ac:dyDescent="0.25">
      <c r="E468" s="24"/>
    </row>
    <row r="469" spans="5:5" ht="30" customHeight="1" x14ac:dyDescent="0.25">
      <c r="E469" s="24"/>
    </row>
    <row r="470" spans="5:5" ht="30" customHeight="1" x14ac:dyDescent="0.25">
      <c r="E470" s="24"/>
    </row>
    <row r="471" spans="5:5" ht="30" customHeight="1" x14ac:dyDescent="0.25">
      <c r="E471" s="24"/>
    </row>
    <row r="472" spans="5:5" ht="30" customHeight="1" x14ac:dyDescent="0.25">
      <c r="E472" s="24"/>
    </row>
    <row r="473" spans="5:5" ht="30" customHeight="1" x14ac:dyDescent="0.25">
      <c r="E473" s="24"/>
    </row>
    <row r="474" spans="5:5" ht="30" customHeight="1" x14ac:dyDescent="0.25">
      <c r="E474" s="24"/>
    </row>
    <row r="475" spans="5:5" ht="30" customHeight="1" x14ac:dyDescent="0.25">
      <c r="E475" s="24"/>
    </row>
    <row r="476" spans="5:5" ht="30" customHeight="1" x14ac:dyDescent="0.25">
      <c r="E476" s="24"/>
    </row>
    <row r="477" spans="5:5" ht="30" customHeight="1" x14ac:dyDescent="0.25">
      <c r="E477" s="24"/>
    </row>
    <row r="478" spans="5:5" ht="30" customHeight="1" x14ac:dyDescent="0.25">
      <c r="E478" s="24"/>
    </row>
    <row r="479" spans="5:5" ht="30" customHeight="1" x14ac:dyDescent="0.25">
      <c r="E479" s="24"/>
    </row>
    <row r="480" spans="5:5" ht="30" customHeight="1" x14ac:dyDescent="0.25">
      <c r="E480" s="24"/>
    </row>
    <row r="481" spans="5:5" ht="30" customHeight="1" x14ac:dyDescent="0.25">
      <c r="E481" s="24"/>
    </row>
    <row r="482" spans="5:5" ht="30" customHeight="1" x14ac:dyDescent="0.25">
      <c r="E482" s="24"/>
    </row>
    <row r="483" spans="5:5" ht="30" customHeight="1" x14ac:dyDescent="0.25">
      <c r="E483" s="24"/>
    </row>
    <row r="484" spans="5:5" ht="30" customHeight="1" x14ac:dyDescent="0.25">
      <c r="E484" s="24"/>
    </row>
    <row r="485" spans="5:5" ht="30" customHeight="1" x14ac:dyDescent="0.25">
      <c r="E485" s="24"/>
    </row>
    <row r="486" spans="5:5" ht="30" customHeight="1" x14ac:dyDescent="0.25">
      <c r="E486" s="24"/>
    </row>
    <row r="487" spans="5:5" ht="30" customHeight="1" x14ac:dyDescent="0.25">
      <c r="E487" s="24"/>
    </row>
    <row r="488" spans="5:5" ht="30" customHeight="1" x14ac:dyDescent="0.25">
      <c r="E488" s="24"/>
    </row>
    <row r="489" spans="5:5" ht="30" customHeight="1" x14ac:dyDescent="0.25">
      <c r="E489" s="24"/>
    </row>
    <row r="490" spans="5:5" ht="30" customHeight="1" x14ac:dyDescent="0.25">
      <c r="E490" s="24"/>
    </row>
    <row r="491" spans="5:5" ht="30" customHeight="1" x14ac:dyDescent="0.25">
      <c r="E491" s="24"/>
    </row>
    <row r="492" spans="5:5" ht="30" customHeight="1" x14ac:dyDescent="0.25">
      <c r="E492" s="24"/>
    </row>
    <row r="493" spans="5:5" ht="30" customHeight="1" x14ac:dyDescent="0.25">
      <c r="E493" s="24"/>
    </row>
    <row r="494" spans="5:5" ht="30" customHeight="1" x14ac:dyDescent="0.25">
      <c r="E494" s="24"/>
    </row>
    <row r="495" spans="5:5" ht="30" customHeight="1" x14ac:dyDescent="0.25">
      <c r="E495" s="24"/>
    </row>
    <row r="496" spans="5:5" ht="30" customHeight="1" x14ac:dyDescent="0.25">
      <c r="E496" s="24"/>
    </row>
    <row r="497" spans="5:5" ht="30" customHeight="1" x14ac:dyDescent="0.25">
      <c r="E497" s="24"/>
    </row>
    <row r="498" spans="5:5" ht="30" customHeight="1" x14ac:dyDescent="0.25">
      <c r="E498" s="24"/>
    </row>
    <row r="499" spans="5:5" ht="30" customHeight="1" x14ac:dyDescent="0.25">
      <c r="E499" s="24"/>
    </row>
    <row r="500" spans="5:5" ht="30" customHeight="1" x14ac:dyDescent="0.25">
      <c r="E500" s="24"/>
    </row>
    <row r="501" spans="5:5" ht="30" customHeight="1" x14ac:dyDescent="0.25">
      <c r="E501" s="24"/>
    </row>
    <row r="502" spans="5:5" ht="30" customHeight="1" x14ac:dyDescent="0.25">
      <c r="E502" s="24"/>
    </row>
    <row r="503" spans="5:5" ht="30" customHeight="1" x14ac:dyDescent="0.25">
      <c r="E503" s="24"/>
    </row>
    <row r="504" spans="5:5" ht="30" customHeight="1" x14ac:dyDescent="0.25">
      <c r="E504" s="24"/>
    </row>
    <row r="505" spans="5:5" ht="30" customHeight="1" x14ac:dyDescent="0.25">
      <c r="E505" s="24"/>
    </row>
    <row r="506" spans="5:5" ht="30" customHeight="1" x14ac:dyDescent="0.25">
      <c r="E506" s="24"/>
    </row>
    <row r="507" spans="5:5" ht="30" customHeight="1" x14ac:dyDescent="0.25">
      <c r="E507" s="24"/>
    </row>
    <row r="508" spans="5:5" ht="30" customHeight="1" x14ac:dyDescent="0.25">
      <c r="E508" s="24"/>
    </row>
    <row r="509" spans="5:5" ht="30" customHeight="1" x14ac:dyDescent="0.25">
      <c r="E509" s="24"/>
    </row>
    <row r="510" spans="5:5" ht="30" customHeight="1" x14ac:dyDescent="0.25">
      <c r="E510" s="24"/>
    </row>
    <row r="511" spans="5:5" ht="30" customHeight="1" x14ac:dyDescent="0.25">
      <c r="E511" s="24"/>
    </row>
    <row r="512" spans="5:5" ht="30" customHeight="1" x14ac:dyDescent="0.25">
      <c r="E512" s="24"/>
    </row>
    <row r="513" spans="5:5" ht="30" customHeight="1" x14ac:dyDescent="0.25">
      <c r="E513" s="24"/>
    </row>
    <row r="514" spans="5:5" ht="30" customHeight="1" x14ac:dyDescent="0.25">
      <c r="E514" s="24"/>
    </row>
    <row r="515" spans="5:5" ht="30" customHeight="1" x14ac:dyDescent="0.25">
      <c r="E515" s="24"/>
    </row>
    <row r="516" spans="5:5" ht="30" customHeight="1" x14ac:dyDescent="0.25">
      <c r="E516" s="24"/>
    </row>
    <row r="517" spans="5:5" ht="30" customHeight="1" x14ac:dyDescent="0.25">
      <c r="E517" s="24"/>
    </row>
    <row r="518" spans="5:5" ht="30" customHeight="1" x14ac:dyDescent="0.25">
      <c r="E518" s="24"/>
    </row>
    <row r="519" spans="5:5" ht="30" customHeight="1" x14ac:dyDescent="0.25">
      <c r="E519" s="24"/>
    </row>
    <row r="520" spans="5:5" ht="30" customHeight="1" x14ac:dyDescent="0.25">
      <c r="E520" s="24"/>
    </row>
    <row r="521" spans="5:5" ht="30" customHeight="1" x14ac:dyDescent="0.25">
      <c r="E521" s="24"/>
    </row>
    <row r="522" spans="5:5" ht="30" customHeight="1" x14ac:dyDescent="0.25">
      <c r="E522" s="24"/>
    </row>
    <row r="523" spans="5:5" ht="30" customHeight="1" x14ac:dyDescent="0.25">
      <c r="E523" s="24"/>
    </row>
    <row r="524" spans="5:5" ht="30" customHeight="1" x14ac:dyDescent="0.25">
      <c r="E524" s="24"/>
    </row>
    <row r="525" spans="5:5" ht="30" customHeight="1" x14ac:dyDescent="0.25">
      <c r="E525" s="24"/>
    </row>
    <row r="526" spans="5:5" ht="30" customHeight="1" x14ac:dyDescent="0.25">
      <c r="E526" s="24"/>
    </row>
    <row r="527" spans="5:5" ht="30" customHeight="1" x14ac:dyDescent="0.25">
      <c r="E527" s="24"/>
    </row>
    <row r="528" spans="5:5" ht="30" customHeight="1" x14ac:dyDescent="0.25">
      <c r="E528" s="24"/>
    </row>
    <row r="529" spans="5:5" ht="30" customHeight="1" x14ac:dyDescent="0.25">
      <c r="E529" s="24"/>
    </row>
    <row r="530" spans="5:5" ht="30" customHeight="1" x14ac:dyDescent="0.25">
      <c r="E530" s="24"/>
    </row>
    <row r="531" spans="5:5" ht="30" customHeight="1" x14ac:dyDescent="0.25">
      <c r="E531" s="24"/>
    </row>
    <row r="532" spans="5:5" ht="30" customHeight="1" x14ac:dyDescent="0.25">
      <c r="E532" s="24"/>
    </row>
    <row r="533" spans="5:5" ht="30" customHeight="1" x14ac:dyDescent="0.25">
      <c r="E533" s="24"/>
    </row>
    <row r="534" spans="5:5" ht="30" customHeight="1" x14ac:dyDescent="0.25">
      <c r="E534" s="24"/>
    </row>
    <row r="535" spans="5:5" ht="30" customHeight="1" x14ac:dyDescent="0.25">
      <c r="E535" s="24"/>
    </row>
    <row r="536" spans="5:5" ht="30" customHeight="1" x14ac:dyDescent="0.25">
      <c r="E536" s="24"/>
    </row>
    <row r="537" spans="5:5" ht="30" customHeight="1" x14ac:dyDescent="0.25">
      <c r="E537" s="24"/>
    </row>
    <row r="538" spans="5:5" ht="30" customHeight="1" x14ac:dyDescent="0.25">
      <c r="E538" s="24"/>
    </row>
    <row r="539" spans="5:5" ht="30" customHeight="1" x14ac:dyDescent="0.25">
      <c r="E539" s="24"/>
    </row>
    <row r="540" spans="5:5" ht="30" customHeight="1" x14ac:dyDescent="0.25">
      <c r="E540" s="24"/>
    </row>
    <row r="541" spans="5:5" ht="30" customHeight="1" x14ac:dyDescent="0.25">
      <c r="E541" s="24"/>
    </row>
    <row r="542" spans="5:5" ht="30" customHeight="1" x14ac:dyDescent="0.25">
      <c r="E542" s="24"/>
    </row>
    <row r="543" spans="5:5" ht="30" customHeight="1" x14ac:dyDescent="0.25">
      <c r="E543" s="24"/>
    </row>
    <row r="544" spans="5:5" ht="30" customHeight="1" x14ac:dyDescent="0.25">
      <c r="E544" s="24"/>
    </row>
    <row r="545" spans="5:5" ht="30" customHeight="1" x14ac:dyDescent="0.25">
      <c r="E545" s="24"/>
    </row>
    <row r="546" spans="5:5" ht="30" customHeight="1" x14ac:dyDescent="0.25">
      <c r="E546" s="24"/>
    </row>
    <row r="547" spans="5:5" ht="30" customHeight="1" x14ac:dyDescent="0.25">
      <c r="E547" s="24"/>
    </row>
    <row r="548" spans="5:5" ht="30" customHeight="1" x14ac:dyDescent="0.25">
      <c r="E548" s="24"/>
    </row>
    <row r="549" spans="5:5" ht="30" customHeight="1" x14ac:dyDescent="0.25">
      <c r="E549" s="24"/>
    </row>
    <row r="550" spans="5:5" ht="30" customHeight="1" x14ac:dyDescent="0.25">
      <c r="E550" s="24"/>
    </row>
    <row r="551" spans="5:5" ht="30" customHeight="1" x14ac:dyDescent="0.25">
      <c r="E551" s="24"/>
    </row>
    <row r="552" spans="5:5" ht="30" customHeight="1" x14ac:dyDescent="0.25">
      <c r="E552" s="24"/>
    </row>
    <row r="553" spans="5:5" ht="30" customHeight="1" x14ac:dyDescent="0.25">
      <c r="E553" s="24"/>
    </row>
    <row r="554" spans="5:5" ht="30" customHeight="1" x14ac:dyDescent="0.25">
      <c r="E554" s="24"/>
    </row>
    <row r="555" spans="5:5" ht="30" customHeight="1" x14ac:dyDescent="0.25">
      <c r="E555" s="24"/>
    </row>
    <row r="556" spans="5:5" ht="30" customHeight="1" x14ac:dyDescent="0.25">
      <c r="E556" s="24"/>
    </row>
    <row r="557" spans="5:5" ht="30" customHeight="1" x14ac:dyDescent="0.25">
      <c r="E557" s="24"/>
    </row>
    <row r="558" spans="5:5" ht="30" customHeight="1" x14ac:dyDescent="0.25">
      <c r="E558" s="24"/>
    </row>
    <row r="559" spans="5:5" ht="30" customHeight="1" x14ac:dyDescent="0.25">
      <c r="E559" s="24"/>
    </row>
    <row r="560" spans="5:5" ht="30" customHeight="1" x14ac:dyDescent="0.25">
      <c r="E560" s="24"/>
    </row>
    <row r="561" spans="5:5" ht="30" customHeight="1" x14ac:dyDescent="0.25">
      <c r="E561" s="24"/>
    </row>
    <row r="562" spans="5:5" ht="30" customHeight="1" x14ac:dyDescent="0.25">
      <c r="E562" s="24"/>
    </row>
    <row r="563" spans="5:5" ht="30" customHeight="1" x14ac:dyDescent="0.25">
      <c r="E563" s="24"/>
    </row>
    <row r="564" spans="5:5" ht="30" customHeight="1" x14ac:dyDescent="0.25">
      <c r="E564" s="24"/>
    </row>
    <row r="565" spans="5:5" ht="30" customHeight="1" x14ac:dyDescent="0.25">
      <c r="E565" s="24"/>
    </row>
    <row r="566" spans="5:5" ht="30" customHeight="1" x14ac:dyDescent="0.25">
      <c r="E566" s="24"/>
    </row>
    <row r="567" spans="5:5" ht="30" customHeight="1" x14ac:dyDescent="0.25">
      <c r="E567" s="24"/>
    </row>
    <row r="568" spans="5:5" ht="30" customHeight="1" x14ac:dyDescent="0.25">
      <c r="E568" s="24"/>
    </row>
    <row r="569" spans="5:5" ht="30" customHeight="1" x14ac:dyDescent="0.25">
      <c r="E569" s="24"/>
    </row>
    <row r="570" spans="5:5" ht="30" customHeight="1" x14ac:dyDescent="0.25">
      <c r="E570" s="24"/>
    </row>
    <row r="571" spans="5:5" ht="30" customHeight="1" x14ac:dyDescent="0.25">
      <c r="E571" s="24"/>
    </row>
    <row r="572" spans="5:5" ht="30" customHeight="1" x14ac:dyDescent="0.25">
      <c r="E572" s="24"/>
    </row>
    <row r="573" spans="5:5" ht="30" customHeight="1" x14ac:dyDescent="0.25">
      <c r="E573" s="24"/>
    </row>
    <row r="574" spans="5:5" ht="30" customHeight="1" x14ac:dyDescent="0.25">
      <c r="E574" s="24"/>
    </row>
    <row r="575" spans="5:5" ht="30" customHeight="1" x14ac:dyDescent="0.25">
      <c r="E575" s="24"/>
    </row>
    <row r="576" spans="5:5" ht="30" customHeight="1" x14ac:dyDescent="0.25">
      <c r="E576" s="24"/>
    </row>
    <row r="577" spans="5:5" ht="30" customHeight="1" x14ac:dyDescent="0.25">
      <c r="E577" s="24"/>
    </row>
    <row r="578" spans="5:5" ht="30" customHeight="1" x14ac:dyDescent="0.25">
      <c r="E578" s="24"/>
    </row>
    <row r="579" spans="5:5" ht="30" customHeight="1" x14ac:dyDescent="0.25">
      <c r="E579" s="24"/>
    </row>
    <row r="580" spans="5:5" ht="30" customHeight="1" x14ac:dyDescent="0.25">
      <c r="E580" s="24"/>
    </row>
    <row r="581" spans="5:5" ht="30" customHeight="1" x14ac:dyDescent="0.25">
      <c r="E581" s="24"/>
    </row>
    <row r="582" spans="5:5" ht="30" customHeight="1" x14ac:dyDescent="0.25">
      <c r="E582" s="24"/>
    </row>
    <row r="583" spans="5:5" ht="30" customHeight="1" x14ac:dyDescent="0.25">
      <c r="E583" s="24"/>
    </row>
    <row r="584" spans="5:5" ht="30" customHeight="1" x14ac:dyDescent="0.25">
      <c r="E584" s="24"/>
    </row>
    <row r="585" spans="5:5" ht="30" customHeight="1" x14ac:dyDescent="0.25">
      <c r="E585" s="24"/>
    </row>
    <row r="586" spans="5:5" ht="30" customHeight="1" x14ac:dyDescent="0.25">
      <c r="E586" s="24"/>
    </row>
    <row r="587" spans="5:5" ht="30" customHeight="1" x14ac:dyDescent="0.25">
      <c r="E587" s="24"/>
    </row>
    <row r="588" spans="5:5" ht="30" customHeight="1" x14ac:dyDescent="0.25">
      <c r="E588" s="24"/>
    </row>
    <row r="589" spans="5:5" ht="30" customHeight="1" x14ac:dyDescent="0.25">
      <c r="E589" s="24"/>
    </row>
    <row r="590" spans="5:5" ht="30" customHeight="1" x14ac:dyDescent="0.25">
      <c r="E590" s="24"/>
    </row>
    <row r="591" spans="5:5" ht="30" customHeight="1" x14ac:dyDescent="0.25">
      <c r="E591" s="24"/>
    </row>
    <row r="592" spans="5:5" ht="30" customHeight="1" x14ac:dyDescent="0.25">
      <c r="E592" s="24"/>
    </row>
    <row r="593" spans="5:5" ht="30" customHeight="1" x14ac:dyDescent="0.25">
      <c r="E593" s="24"/>
    </row>
    <row r="594" spans="5:5" ht="30" customHeight="1" x14ac:dyDescent="0.25">
      <c r="E594" s="24"/>
    </row>
    <row r="595" spans="5:5" ht="30" customHeight="1" x14ac:dyDescent="0.25">
      <c r="E595" s="24"/>
    </row>
    <row r="596" spans="5:5" ht="30" customHeight="1" x14ac:dyDescent="0.25">
      <c r="E596" s="24"/>
    </row>
    <row r="597" spans="5:5" ht="30" customHeight="1" x14ac:dyDescent="0.25">
      <c r="E597" s="24"/>
    </row>
    <row r="598" spans="5:5" ht="30" customHeight="1" x14ac:dyDescent="0.25">
      <c r="E598" s="24"/>
    </row>
    <row r="599" spans="5:5" ht="30" customHeight="1" x14ac:dyDescent="0.25">
      <c r="E599" s="24"/>
    </row>
    <row r="600" spans="5:5" ht="30" customHeight="1" x14ac:dyDescent="0.25">
      <c r="E600" s="24"/>
    </row>
    <row r="601" spans="5:5" ht="30" customHeight="1" x14ac:dyDescent="0.25">
      <c r="E601" s="24"/>
    </row>
    <row r="602" spans="5:5" ht="30" customHeight="1" x14ac:dyDescent="0.25">
      <c r="E602" s="24"/>
    </row>
    <row r="603" spans="5:5" ht="30" customHeight="1" x14ac:dyDescent="0.25">
      <c r="E603" s="24"/>
    </row>
    <row r="604" spans="5:5" ht="30" customHeight="1" x14ac:dyDescent="0.25">
      <c r="E604" s="24"/>
    </row>
    <row r="605" spans="5:5" ht="30" customHeight="1" x14ac:dyDescent="0.25">
      <c r="E605" s="24"/>
    </row>
    <row r="606" spans="5:5" ht="30" customHeight="1" x14ac:dyDescent="0.25">
      <c r="E606" s="24"/>
    </row>
    <row r="607" spans="5:5" ht="30" customHeight="1" x14ac:dyDescent="0.25">
      <c r="E607" s="24"/>
    </row>
    <row r="608" spans="5:5" ht="30" customHeight="1" x14ac:dyDescent="0.25">
      <c r="E608" s="24"/>
    </row>
    <row r="609" spans="5:5" ht="30" customHeight="1" x14ac:dyDescent="0.25">
      <c r="E609" s="24"/>
    </row>
    <row r="610" spans="5:5" ht="30" customHeight="1" x14ac:dyDescent="0.25">
      <c r="E610" s="24"/>
    </row>
    <row r="611" spans="5:5" ht="30" customHeight="1" x14ac:dyDescent="0.25">
      <c r="E611" s="24"/>
    </row>
    <row r="612" spans="5:5" ht="30" customHeight="1" x14ac:dyDescent="0.25">
      <c r="E612" s="24"/>
    </row>
    <row r="613" spans="5:5" ht="30" customHeight="1" x14ac:dyDescent="0.25">
      <c r="E613" s="24"/>
    </row>
    <row r="614" spans="5:5" ht="30" customHeight="1" x14ac:dyDescent="0.25">
      <c r="E614" s="24"/>
    </row>
    <row r="615" spans="5:5" ht="30" customHeight="1" x14ac:dyDescent="0.25">
      <c r="E615" s="24"/>
    </row>
    <row r="616" spans="5:5" ht="30" customHeight="1" x14ac:dyDescent="0.25">
      <c r="E616" s="24"/>
    </row>
    <row r="617" spans="5:5" ht="30" customHeight="1" x14ac:dyDescent="0.25">
      <c r="E617" s="24"/>
    </row>
    <row r="618" spans="5:5" ht="30" customHeight="1" x14ac:dyDescent="0.25">
      <c r="E618" s="24"/>
    </row>
    <row r="619" spans="5:5" ht="30" customHeight="1" x14ac:dyDescent="0.25">
      <c r="E619" s="24"/>
    </row>
    <row r="620" spans="5:5" ht="30" customHeight="1" x14ac:dyDescent="0.25">
      <c r="E620" s="24"/>
    </row>
    <row r="621" spans="5:5" ht="30" customHeight="1" x14ac:dyDescent="0.25">
      <c r="E621" s="24"/>
    </row>
    <row r="622" spans="5:5" ht="30" customHeight="1" x14ac:dyDescent="0.25">
      <c r="E622" s="24"/>
    </row>
    <row r="623" spans="5:5" ht="30" customHeight="1" x14ac:dyDescent="0.25">
      <c r="E623" s="24"/>
    </row>
    <row r="624" spans="5:5" ht="30" customHeight="1" x14ac:dyDescent="0.25">
      <c r="E624" s="24"/>
    </row>
    <row r="625" spans="5:5" ht="30" customHeight="1" x14ac:dyDescent="0.25">
      <c r="E625" s="24"/>
    </row>
    <row r="626" spans="5:5" ht="30" customHeight="1" x14ac:dyDescent="0.25">
      <c r="E626" s="24"/>
    </row>
    <row r="627" spans="5:5" ht="30" customHeight="1" x14ac:dyDescent="0.25">
      <c r="E627" s="24"/>
    </row>
    <row r="628" spans="5:5" ht="30" customHeight="1" x14ac:dyDescent="0.25">
      <c r="E628" s="24"/>
    </row>
    <row r="629" spans="5:5" ht="30" customHeight="1" x14ac:dyDescent="0.25">
      <c r="E629" s="24"/>
    </row>
    <row r="630" spans="5:5" ht="30" customHeight="1" x14ac:dyDescent="0.25">
      <c r="E630" s="24"/>
    </row>
    <row r="631" spans="5:5" ht="30" customHeight="1" x14ac:dyDescent="0.25">
      <c r="E631" s="24"/>
    </row>
    <row r="632" spans="5:5" ht="30" customHeight="1" x14ac:dyDescent="0.25">
      <c r="E632" s="24"/>
    </row>
    <row r="633" spans="5:5" ht="30" customHeight="1" x14ac:dyDescent="0.25">
      <c r="E633" s="24"/>
    </row>
    <row r="634" spans="5:5" ht="30" customHeight="1" x14ac:dyDescent="0.25">
      <c r="E634" s="24"/>
    </row>
    <row r="635" spans="5:5" ht="30" customHeight="1" x14ac:dyDescent="0.25">
      <c r="E635" s="24"/>
    </row>
    <row r="636" spans="5:5" ht="30" customHeight="1" x14ac:dyDescent="0.25">
      <c r="E636" s="24"/>
    </row>
    <row r="637" spans="5:5" ht="30" customHeight="1" x14ac:dyDescent="0.25">
      <c r="E637" s="24"/>
    </row>
    <row r="638" spans="5:5" ht="30" customHeight="1" x14ac:dyDescent="0.25">
      <c r="E638" s="24"/>
    </row>
    <row r="639" spans="5:5" ht="30" customHeight="1" x14ac:dyDescent="0.25">
      <c r="E639" s="24"/>
    </row>
    <row r="640" spans="5:5" ht="30" customHeight="1" x14ac:dyDescent="0.25">
      <c r="E640" s="24"/>
    </row>
    <row r="641" spans="5:5" ht="30" customHeight="1" x14ac:dyDescent="0.25">
      <c r="E641" s="24"/>
    </row>
    <row r="642" spans="5:5" ht="30" customHeight="1" x14ac:dyDescent="0.25">
      <c r="E642" s="24"/>
    </row>
    <row r="643" spans="5:5" ht="30" customHeight="1" x14ac:dyDescent="0.25">
      <c r="E643" s="24"/>
    </row>
    <row r="644" spans="5:5" ht="30" customHeight="1" x14ac:dyDescent="0.25">
      <c r="E644" s="24"/>
    </row>
    <row r="645" spans="5:5" ht="30" customHeight="1" x14ac:dyDescent="0.25">
      <c r="E645" s="24"/>
    </row>
    <row r="646" spans="5:5" ht="30" customHeight="1" x14ac:dyDescent="0.25">
      <c r="E646" s="24"/>
    </row>
    <row r="647" spans="5:5" ht="30" customHeight="1" x14ac:dyDescent="0.25">
      <c r="E647" s="24"/>
    </row>
    <row r="648" spans="5:5" ht="30" customHeight="1" x14ac:dyDescent="0.25">
      <c r="E648" s="24"/>
    </row>
    <row r="649" spans="5:5" ht="30" customHeight="1" x14ac:dyDescent="0.25">
      <c r="E649" s="24"/>
    </row>
    <row r="650" spans="5:5" ht="30" customHeight="1" x14ac:dyDescent="0.25">
      <c r="E650" s="24"/>
    </row>
    <row r="651" spans="5:5" ht="30" customHeight="1" x14ac:dyDescent="0.25">
      <c r="E651" s="24"/>
    </row>
    <row r="652" spans="5:5" ht="30" customHeight="1" x14ac:dyDescent="0.25">
      <c r="E652" s="24"/>
    </row>
    <row r="653" spans="5:5" ht="30" customHeight="1" x14ac:dyDescent="0.25">
      <c r="E653" s="24"/>
    </row>
    <row r="654" spans="5:5" ht="30" customHeight="1" x14ac:dyDescent="0.25">
      <c r="E654" s="24"/>
    </row>
    <row r="655" spans="5:5" ht="30" customHeight="1" x14ac:dyDescent="0.25">
      <c r="E655" s="24"/>
    </row>
    <row r="656" spans="5:5" ht="30" customHeight="1" x14ac:dyDescent="0.25">
      <c r="E656" s="24"/>
    </row>
    <row r="657" spans="5:5" ht="30" customHeight="1" x14ac:dyDescent="0.25">
      <c r="E657" s="24"/>
    </row>
    <row r="658" spans="5:5" ht="30" customHeight="1" x14ac:dyDescent="0.25">
      <c r="E658" s="24"/>
    </row>
    <row r="659" spans="5:5" ht="30" customHeight="1" x14ac:dyDescent="0.25">
      <c r="E659" s="24"/>
    </row>
    <row r="660" spans="5:5" ht="30" customHeight="1" x14ac:dyDescent="0.25">
      <c r="E660" s="24"/>
    </row>
    <row r="661" spans="5:5" ht="30" customHeight="1" x14ac:dyDescent="0.25">
      <c r="E661" s="24"/>
    </row>
    <row r="662" spans="5:5" ht="30" customHeight="1" x14ac:dyDescent="0.25">
      <c r="E662" s="24"/>
    </row>
    <row r="663" spans="5:5" ht="30" customHeight="1" x14ac:dyDescent="0.25">
      <c r="E663" s="24"/>
    </row>
    <row r="664" spans="5:5" ht="30" customHeight="1" x14ac:dyDescent="0.25">
      <c r="E664" s="24"/>
    </row>
    <row r="665" spans="5:5" ht="30" customHeight="1" x14ac:dyDescent="0.25">
      <c r="E665" s="24"/>
    </row>
    <row r="666" spans="5:5" ht="30" customHeight="1" x14ac:dyDescent="0.25">
      <c r="E666" s="24"/>
    </row>
    <row r="667" spans="5:5" ht="30" customHeight="1" x14ac:dyDescent="0.25">
      <c r="E667" s="24"/>
    </row>
    <row r="668" spans="5:5" ht="30" customHeight="1" x14ac:dyDescent="0.25">
      <c r="E668" s="24"/>
    </row>
    <row r="669" spans="5:5" ht="30" customHeight="1" x14ac:dyDescent="0.25">
      <c r="E669" s="24"/>
    </row>
    <row r="670" spans="5:5" ht="30" customHeight="1" x14ac:dyDescent="0.25">
      <c r="E670" s="24"/>
    </row>
    <row r="671" spans="5:5" ht="30" customHeight="1" x14ac:dyDescent="0.25">
      <c r="E671" s="24"/>
    </row>
    <row r="672" spans="5:5" ht="30" customHeight="1" x14ac:dyDescent="0.25">
      <c r="E672" s="24"/>
    </row>
    <row r="673" spans="5:5" ht="30" customHeight="1" x14ac:dyDescent="0.25">
      <c r="E673" s="24"/>
    </row>
    <row r="674" spans="5:5" ht="30" customHeight="1" x14ac:dyDescent="0.25">
      <c r="E674" s="24"/>
    </row>
    <row r="675" spans="5:5" ht="30" customHeight="1" x14ac:dyDescent="0.25">
      <c r="E675" s="24"/>
    </row>
    <row r="676" spans="5:5" ht="30" customHeight="1" x14ac:dyDescent="0.25">
      <c r="E676" s="24"/>
    </row>
    <row r="677" spans="5:5" ht="30" customHeight="1" x14ac:dyDescent="0.25">
      <c r="E677" s="24"/>
    </row>
    <row r="678" spans="5:5" ht="30" customHeight="1" x14ac:dyDescent="0.25">
      <c r="E678" s="24"/>
    </row>
    <row r="679" spans="5:5" ht="30" customHeight="1" x14ac:dyDescent="0.25">
      <c r="E679" s="24"/>
    </row>
    <row r="680" spans="5:5" ht="30" customHeight="1" x14ac:dyDescent="0.25">
      <c r="E680" s="24"/>
    </row>
    <row r="681" spans="5:5" ht="30" customHeight="1" x14ac:dyDescent="0.25">
      <c r="E681" s="24"/>
    </row>
    <row r="682" spans="5:5" ht="30" customHeight="1" x14ac:dyDescent="0.25">
      <c r="E682" s="24"/>
    </row>
    <row r="683" spans="5:5" ht="30" customHeight="1" x14ac:dyDescent="0.25">
      <c r="E683" s="24"/>
    </row>
    <row r="684" spans="5:5" ht="30" customHeight="1" x14ac:dyDescent="0.25">
      <c r="E684" s="24"/>
    </row>
    <row r="685" spans="5:5" ht="30" customHeight="1" x14ac:dyDescent="0.25">
      <c r="E685" s="24"/>
    </row>
    <row r="686" spans="5:5" ht="30" customHeight="1" x14ac:dyDescent="0.25">
      <c r="E686" s="24"/>
    </row>
    <row r="687" spans="5:5" ht="30" customHeight="1" x14ac:dyDescent="0.25">
      <c r="E687" s="24"/>
    </row>
    <row r="688" spans="5:5" ht="30" customHeight="1" x14ac:dyDescent="0.25">
      <c r="E688" s="24"/>
    </row>
    <row r="689" spans="5:5" ht="30" customHeight="1" x14ac:dyDescent="0.25">
      <c r="E689" s="24"/>
    </row>
    <row r="690" spans="5:5" ht="30" customHeight="1" x14ac:dyDescent="0.25">
      <c r="E690" s="24"/>
    </row>
    <row r="691" spans="5:5" ht="30" customHeight="1" x14ac:dyDescent="0.25">
      <c r="E691" s="24"/>
    </row>
    <row r="692" spans="5:5" ht="30" customHeight="1" x14ac:dyDescent="0.25">
      <c r="E692" s="24"/>
    </row>
    <row r="693" spans="5:5" ht="30" customHeight="1" x14ac:dyDescent="0.25">
      <c r="E693" s="24"/>
    </row>
    <row r="694" spans="5:5" ht="30" customHeight="1" x14ac:dyDescent="0.25">
      <c r="E694" s="24"/>
    </row>
    <row r="695" spans="5:5" ht="30" customHeight="1" x14ac:dyDescent="0.25">
      <c r="E695" s="24"/>
    </row>
    <row r="696" spans="5:5" ht="30" customHeight="1" x14ac:dyDescent="0.25">
      <c r="E696" s="24"/>
    </row>
    <row r="697" spans="5:5" ht="30" customHeight="1" x14ac:dyDescent="0.25">
      <c r="E697" s="24"/>
    </row>
    <row r="698" spans="5:5" ht="30" customHeight="1" x14ac:dyDescent="0.25">
      <c r="E698" s="24"/>
    </row>
    <row r="699" spans="5:5" ht="30" customHeight="1" x14ac:dyDescent="0.25">
      <c r="E699" s="24"/>
    </row>
    <row r="700" spans="5:5" ht="30" customHeight="1" x14ac:dyDescent="0.25">
      <c r="E700" s="24"/>
    </row>
    <row r="701" spans="5:5" ht="30" customHeight="1" x14ac:dyDescent="0.25">
      <c r="E701" s="24"/>
    </row>
    <row r="702" spans="5:5" ht="30" customHeight="1" x14ac:dyDescent="0.25">
      <c r="E702" s="24"/>
    </row>
    <row r="703" spans="5:5" ht="30" customHeight="1" x14ac:dyDescent="0.25">
      <c r="E703" s="24"/>
    </row>
    <row r="704" spans="5:5" ht="30" customHeight="1" x14ac:dyDescent="0.25">
      <c r="E704" s="24"/>
    </row>
    <row r="705" spans="5:5" ht="30" customHeight="1" x14ac:dyDescent="0.25">
      <c r="E705" s="24"/>
    </row>
    <row r="706" spans="5:5" ht="30" customHeight="1" x14ac:dyDescent="0.25">
      <c r="E706" s="24"/>
    </row>
    <row r="707" spans="5:5" ht="30" customHeight="1" x14ac:dyDescent="0.25">
      <c r="E707" s="24"/>
    </row>
    <row r="708" spans="5:5" ht="30" customHeight="1" x14ac:dyDescent="0.25">
      <c r="E708" s="24"/>
    </row>
    <row r="709" spans="5:5" ht="30" customHeight="1" x14ac:dyDescent="0.25">
      <c r="E709" s="24"/>
    </row>
    <row r="710" spans="5:5" ht="30" customHeight="1" x14ac:dyDescent="0.25">
      <c r="E710" s="24"/>
    </row>
    <row r="711" spans="5:5" ht="30" customHeight="1" x14ac:dyDescent="0.25">
      <c r="E711" s="24"/>
    </row>
    <row r="712" spans="5:5" ht="30" customHeight="1" x14ac:dyDescent="0.25">
      <c r="E712" s="24"/>
    </row>
    <row r="713" spans="5:5" ht="30" customHeight="1" x14ac:dyDescent="0.25">
      <c r="E713" s="24"/>
    </row>
    <row r="714" spans="5:5" ht="30" customHeight="1" x14ac:dyDescent="0.25">
      <c r="E714" s="24"/>
    </row>
    <row r="715" spans="5:5" ht="30" customHeight="1" x14ac:dyDescent="0.25">
      <c r="E715" s="24"/>
    </row>
    <row r="716" spans="5:5" ht="30" customHeight="1" x14ac:dyDescent="0.25">
      <c r="E716" s="24"/>
    </row>
    <row r="717" spans="5:5" ht="30" customHeight="1" x14ac:dyDescent="0.25">
      <c r="E717" s="24"/>
    </row>
    <row r="718" spans="5:5" ht="30" customHeight="1" x14ac:dyDescent="0.25">
      <c r="E718" s="24"/>
    </row>
    <row r="719" spans="5:5" ht="30" customHeight="1" x14ac:dyDescent="0.25">
      <c r="E719" s="24"/>
    </row>
    <row r="720" spans="5:5" ht="30" customHeight="1" x14ac:dyDescent="0.25">
      <c r="E720" s="24"/>
    </row>
    <row r="721" spans="5:5" ht="30" customHeight="1" x14ac:dyDescent="0.25">
      <c r="E721" s="24"/>
    </row>
    <row r="722" spans="5:5" ht="30" customHeight="1" x14ac:dyDescent="0.25">
      <c r="E722" s="24"/>
    </row>
    <row r="723" spans="5:5" ht="30" customHeight="1" x14ac:dyDescent="0.25">
      <c r="E723" s="24"/>
    </row>
    <row r="724" spans="5:5" ht="30" customHeight="1" x14ac:dyDescent="0.25">
      <c r="E724" s="24"/>
    </row>
    <row r="725" spans="5:5" ht="30" customHeight="1" x14ac:dyDescent="0.25">
      <c r="E725" s="24"/>
    </row>
    <row r="726" spans="5:5" ht="30" customHeight="1" x14ac:dyDescent="0.25">
      <c r="E726" s="24"/>
    </row>
    <row r="727" spans="5:5" ht="30" customHeight="1" x14ac:dyDescent="0.25">
      <c r="E727" s="24"/>
    </row>
    <row r="728" spans="5:5" ht="30" customHeight="1" x14ac:dyDescent="0.25">
      <c r="E728" s="24"/>
    </row>
    <row r="729" spans="5:5" ht="30" customHeight="1" x14ac:dyDescent="0.25">
      <c r="E729" s="24"/>
    </row>
    <row r="730" spans="5:5" ht="30" customHeight="1" x14ac:dyDescent="0.25">
      <c r="E730" s="24"/>
    </row>
    <row r="731" spans="5:5" ht="30" customHeight="1" x14ac:dyDescent="0.25">
      <c r="E731" s="24"/>
    </row>
    <row r="732" spans="5:5" ht="30" customHeight="1" x14ac:dyDescent="0.25">
      <c r="E732" s="24"/>
    </row>
    <row r="733" spans="5:5" ht="30" customHeight="1" x14ac:dyDescent="0.25">
      <c r="E733" s="24"/>
    </row>
    <row r="734" spans="5:5" ht="30" customHeight="1" x14ac:dyDescent="0.25">
      <c r="E734" s="24"/>
    </row>
    <row r="735" spans="5:5" ht="30" customHeight="1" x14ac:dyDescent="0.25">
      <c r="E735" s="24"/>
    </row>
    <row r="736" spans="5:5" ht="30" customHeight="1" x14ac:dyDescent="0.25">
      <c r="E736" s="24"/>
    </row>
    <row r="737" spans="5:5" ht="30" customHeight="1" x14ac:dyDescent="0.25">
      <c r="E737" s="24"/>
    </row>
    <row r="738" spans="5:5" ht="30" customHeight="1" x14ac:dyDescent="0.25">
      <c r="E738" s="24"/>
    </row>
    <row r="739" spans="5:5" ht="30" customHeight="1" x14ac:dyDescent="0.25">
      <c r="E739" s="23"/>
    </row>
  </sheetData>
  <autoFilter ref="A1:I162" xr:uid="{00000000-0009-0000-0000-000005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/>
  <dimension ref="A1:F21"/>
  <sheetViews>
    <sheetView workbookViewId="0">
      <selection activeCell="F18" sqref="F18"/>
    </sheetView>
  </sheetViews>
  <sheetFormatPr defaultRowHeight="15" x14ac:dyDescent="0.25"/>
  <cols>
    <col min="2" max="2" width="31.28515625" customWidth="1"/>
    <col min="3" max="6" width="17.42578125" customWidth="1"/>
  </cols>
  <sheetData>
    <row r="1" spans="1:6" x14ac:dyDescent="0.25">
      <c r="A1" t="s">
        <v>333</v>
      </c>
      <c r="B1" t="s">
        <v>23</v>
      </c>
      <c r="C1" t="s">
        <v>332</v>
      </c>
      <c r="D1" t="s">
        <v>345</v>
      </c>
      <c r="E1" t="s">
        <v>346</v>
      </c>
      <c r="F1" t="s">
        <v>344</v>
      </c>
    </row>
    <row r="2" spans="1:6" x14ac:dyDescent="0.25">
      <c r="A2">
        <v>1</v>
      </c>
      <c r="B2" s="6" t="s">
        <v>31</v>
      </c>
      <c r="C2">
        <v>5</v>
      </c>
      <c r="D2" t="s">
        <v>347</v>
      </c>
      <c r="E2" t="s">
        <v>334</v>
      </c>
      <c r="F2" t="s">
        <v>366</v>
      </c>
    </row>
    <row r="3" spans="1:6" x14ac:dyDescent="0.25">
      <c r="A3">
        <v>1</v>
      </c>
      <c r="B3" s="7" t="s">
        <v>31</v>
      </c>
      <c r="C3">
        <v>13</v>
      </c>
      <c r="D3" t="s">
        <v>347</v>
      </c>
      <c r="E3" t="s">
        <v>334</v>
      </c>
      <c r="F3" t="s">
        <v>367</v>
      </c>
    </row>
    <row r="4" spans="1:6" x14ac:dyDescent="0.25">
      <c r="A4">
        <v>2</v>
      </c>
      <c r="B4" s="4" t="s">
        <v>35</v>
      </c>
      <c r="C4" t="s">
        <v>337</v>
      </c>
      <c r="D4" t="s">
        <v>335</v>
      </c>
      <c r="E4" t="s">
        <v>337</v>
      </c>
    </row>
    <row r="5" spans="1:6" x14ac:dyDescent="0.25">
      <c r="A5">
        <v>3</v>
      </c>
      <c r="B5" s="6" t="s">
        <v>40</v>
      </c>
      <c r="C5">
        <v>3</v>
      </c>
      <c r="D5" t="s">
        <v>335</v>
      </c>
      <c r="F5" t="s">
        <v>366</v>
      </c>
    </row>
    <row r="6" spans="1:6" x14ac:dyDescent="0.25">
      <c r="A6">
        <v>4</v>
      </c>
      <c r="B6" s="7" t="s">
        <v>53</v>
      </c>
      <c r="C6">
        <v>13</v>
      </c>
      <c r="D6" t="s">
        <v>347</v>
      </c>
      <c r="E6" t="s">
        <v>334</v>
      </c>
      <c r="F6" t="s">
        <v>367</v>
      </c>
    </row>
    <row r="7" spans="1:6" x14ac:dyDescent="0.25">
      <c r="A7">
        <v>5</v>
      </c>
      <c r="B7" s="6" t="s">
        <v>60</v>
      </c>
      <c r="C7">
        <v>6</v>
      </c>
      <c r="D7" t="s">
        <v>347</v>
      </c>
      <c r="E7" t="s">
        <v>334</v>
      </c>
      <c r="F7" t="s">
        <v>366</v>
      </c>
    </row>
    <row r="8" spans="1:6" x14ac:dyDescent="0.25">
      <c r="A8">
        <v>6</v>
      </c>
      <c r="B8" s="6" t="s">
        <v>56</v>
      </c>
      <c r="C8">
        <v>3</v>
      </c>
      <c r="D8" t="s">
        <v>335</v>
      </c>
      <c r="F8" t="s">
        <v>366</v>
      </c>
    </row>
    <row r="9" spans="1:6" x14ac:dyDescent="0.25">
      <c r="A9">
        <v>7</v>
      </c>
      <c r="B9" s="6" t="s">
        <v>30</v>
      </c>
      <c r="C9">
        <v>2</v>
      </c>
      <c r="D9" t="s">
        <v>334</v>
      </c>
      <c r="E9" t="s">
        <v>336</v>
      </c>
      <c r="F9" t="s">
        <v>366</v>
      </c>
    </row>
    <row r="10" spans="1:6" x14ac:dyDescent="0.25">
      <c r="A10">
        <v>8</v>
      </c>
      <c r="B10" s="7" t="s">
        <v>45</v>
      </c>
      <c r="C10">
        <v>5</v>
      </c>
      <c r="D10" t="s">
        <v>334</v>
      </c>
      <c r="E10" t="s">
        <v>336</v>
      </c>
      <c r="F10" t="s">
        <v>367</v>
      </c>
    </row>
    <row r="11" spans="1:6" x14ac:dyDescent="0.25">
      <c r="A11">
        <v>9</v>
      </c>
      <c r="B11" s="7" t="s">
        <v>67</v>
      </c>
      <c r="C11">
        <v>11</v>
      </c>
      <c r="D11" t="s">
        <v>334</v>
      </c>
      <c r="E11" t="s">
        <v>336</v>
      </c>
      <c r="F11" t="s">
        <v>367</v>
      </c>
    </row>
    <row r="12" spans="1:6" x14ac:dyDescent="0.25">
      <c r="A12">
        <v>10</v>
      </c>
      <c r="B12" s="6" t="s">
        <v>28</v>
      </c>
      <c r="C12">
        <v>6</v>
      </c>
      <c r="D12" t="s">
        <v>334</v>
      </c>
      <c r="F12" t="s">
        <v>366</v>
      </c>
    </row>
    <row r="13" spans="1:6" x14ac:dyDescent="0.25">
      <c r="A13">
        <v>11</v>
      </c>
      <c r="B13" s="8" t="s">
        <v>61</v>
      </c>
      <c r="C13" s="9">
        <v>4</v>
      </c>
      <c r="D13" s="9"/>
      <c r="E13" s="9"/>
    </row>
    <row r="14" spans="1:6" x14ac:dyDescent="0.25">
      <c r="A14">
        <v>12</v>
      </c>
      <c r="B14" s="6" t="s">
        <v>59</v>
      </c>
      <c r="C14">
        <v>5</v>
      </c>
      <c r="D14" t="s">
        <v>336</v>
      </c>
      <c r="E14" t="s">
        <v>348</v>
      </c>
      <c r="F14" t="s">
        <v>366</v>
      </c>
    </row>
    <row r="15" spans="1:6" x14ac:dyDescent="0.25">
      <c r="A15">
        <v>12</v>
      </c>
      <c r="B15" s="7" t="s">
        <v>349</v>
      </c>
      <c r="C15">
        <v>10</v>
      </c>
      <c r="D15" t="s">
        <v>336</v>
      </c>
      <c r="E15" t="s">
        <v>348</v>
      </c>
      <c r="F15" t="s">
        <v>367</v>
      </c>
    </row>
    <row r="16" spans="1:6" x14ac:dyDescent="0.25">
      <c r="A16">
        <v>13</v>
      </c>
      <c r="B16" s="6" t="s">
        <v>65</v>
      </c>
      <c r="C16">
        <v>6</v>
      </c>
      <c r="D16" t="s">
        <v>347</v>
      </c>
      <c r="E16" t="s">
        <v>350</v>
      </c>
      <c r="F16" t="s">
        <v>366</v>
      </c>
    </row>
    <row r="17" spans="2:6" x14ac:dyDescent="0.25">
      <c r="B17" s="7" t="s">
        <v>351</v>
      </c>
      <c r="C17">
        <v>3</v>
      </c>
      <c r="D17" t="s">
        <v>352</v>
      </c>
      <c r="F17" t="s">
        <v>367</v>
      </c>
    </row>
    <row r="20" spans="2:6" x14ac:dyDescent="0.25">
      <c r="B20" s="10" t="s">
        <v>353</v>
      </c>
    </row>
    <row r="21" spans="2:6" x14ac:dyDescent="0.25">
      <c r="B21" s="11" t="s">
        <v>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E135-CEC9-4E1B-97B2-9B825666E32C}">
  <dimension ref="A1:F2"/>
  <sheetViews>
    <sheetView tabSelected="1" workbookViewId="0">
      <pane ySplit="1" topLeftCell="A2" activePane="bottomLeft" state="frozenSplit"/>
      <selection pane="bottomLeft" sqref="A1:G58"/>
    </sheetView>
  </sheetViews>
  <sheetFormatPr defaultRowHeight="15" x14ac:dyDescent="0.25"/>
  <cols>
    <col min="1" max="1" width="17.85546875" bestFit="1" customWidth="1"/>
    <col min="2" max="2" width="8.28515625" bestFit="1" customWidth="1"/>
    <col min="3" max="3" width="24.7109375" bestFit="1" customWidth="1"/>
    <col min="4" max="4" width="15.7109375" bestFit="1" customWidth="1"/>
    <col min="5" max="5" width="6.7109375" bestFit="1" customWidth="1"/>
    <col min="6" max="6" width="11.7109375" bestFit="1" customWidth="1"/>
  </cols>
  <sheetData>
    <row r="1" spans="1:6" x14ac:dyDescent="0.25">
      <c r="A1" s="56" t="s">
        <v>8</v>
      </c>
      <c r="B1" s="56" t="s">
        <v>19</v>
      </c>
      <c r="C1" s="56" t="s">
        <v>24</v>
      </c>
      <c r="D1" t="s">
        <v>343</v>
      </c>
      <c r="E1" t="s">
        <v>358</v>
      </c>
      <c r="F1" t="s">
        <v>329</v>
      </c>
    </row>
    <row r="2" spans="1:6" x14ac:dyDescent="0.25">
      <c r="A2" s="56" t="s">
        <v>386</v>
      </c>
      <c r="B2" s="56" t="s">
        <v>43</v>
      </c>
      <c r="C2" s="56" t="s">
        <v>385</v>
      </c>
      <c r="D2">
        <v>1</v>
      </c>
      <c r="E2">
        <v>1</v>
      </c>
      <c r="F2">
        <v>15</v>
      </c>
    </row>
  </sheetData>
  <autoFilter ref="A1:F2" xr:uid="{BC73757D-A0AB-4C3D-BBB7-85A7FBAB381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7567-6B07-46B8-94CB-B3232EDDECA0}">
  <dimension ref="A1:F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7.5703125" bestFit="1" customWidth="1"/>
    <col min="2" max="2" width="8.28515625" bestFit="1" customWidth="1"/>
    <col min="3" max="3" width="24.5703125" bestFit="1" customWidth="1"/>
    <col min="4" max="4" width="15.7109375" bestFit="1" customWidth="1"/>
    <col min="5" max="5" width="6.7109375" bestFit="1" customWidth="1"/>
    <col min="6" max="6" width="12" bestFit="1" customWidth="1"/>
  </cols>
  <sheetData>
    <row r="1" spans="1:6" x14ac:dyDescent="0.25">
      <c r="A1" s="56" t="s">
        <v>8</v>
      </c>
      <c r="B1" s="56" t="s">
        <v>19</v>
      </c>
      <c r="C1" s="56" t="s">
        <v>24</v>
      </c>
      <c r="D1" s="57" t="s">
        <v>343</v>
      </c>
      <c r="E1" s="57" t="s">
        <v>358</v>
      </c>
      <c r="F1" t="s">
        <v>329</v>
      </c>
    </row>
    <row r="2" spans="1:6" x14ac:dyDescent="0.25">
      <c r="A2" s="56" t="s">
        <v>667</v>
      </c>
      <c r="B2" s="56" t="s">
        <v>29</v>
      </c>
      <c r="C2" s="56" t="s">
        <v>450</v>
      </c>
      <c r="D2" s="57">
        <v>1</v>
      </c>
      <c r="E2" s="57">
        <v>1</v>
      </c>
      <c r="F2">
        <v>2</v>
      </c>
    </row>
    <row r="3" spans="1:6" x14ac:dyDescent="0.25">
      <c r="A3" s="56" t="s">
        <v>672</v>
      </c>
      <c r="B3" s="56" t="s">
        <v>509</v>
      </c>
      <c r="C3" s="56" t="s">
        <v>450</v>
      </c>
      <c r="D3" s="57">
        <v>1</v>
      </c>
      <c r="E3" s="57">
        <v>1</v>
      </c>
      <c r="F3">
        <v>-2146826246</v>
      </c>
    </row>
    <row r="4" spans="1:6" x14ac:dyDescent="0.25">
      <c r="A4" s="56" t="s">
        <v>479</v>
      </c>
      <c r="B4" s="56" t="s">
        <v>37</v>
      </c>
      <c r="C4" s="56" t="s">
        <v>450</v>
      </c>
      <c r="D4" s="57">
        <v>2</v>
      </c>
      <c r="E4" s="57">
        <v>1</v>
      </c>
      <c r="F4">
        <v>2</v>
      </c>
    </row>
    <row r="5" spans="1:6" x14ac:dyDescent="0.25">
      <c r="A5" s="56" t="s">
        <v>539</v>
      </c>
      <c r="B5" s="56" t="s">
        <v>509</v>
      </c>
      <c r="C5" s="56" t="s">
        <v>450</v>
      </c>
      <c r="D5" s="57">
        <v>2</v>
      </c>
      <c r="E5" s="57">
        <v>1</v>
      </c>
      <c r="F5">
        <v>-2146826246</v>
      </c>
    </row>
    <row r="6" spans="1:6" x14ac:dyDescent="0.25">
      <c r="A6" s="56" t="s">
        <v>516</v>
      </c>
      <c r="B6" s="56" t="s">
        <v>37</v>
      </c>
      <c r="C6" s="56" t="s">
        <v>450</v>
      </c>
      <c r="D6" s="57">
        <v>70</v>
      </c>
      <c r="E6" s="57">
        <v>1</v>
      </c>
      <c r="F6">
        <v>2</v>
      </c>
    </row>
    <row r="7" spans="1:6" x14ac:dyDescent="0.25">
      <c r="A7" s="56" t="s">
        <v>543</v>
      </c>
      <c r="B7" s="56" t="s">
        <v>509</v>
      </c>
      <c r="C7" s="56" t="s">
        <v>450</v>
      </c>
      <c r="D7" s="57">
        <v>70</v>
      </c>
      <c r="E7" s="57">
        <v>1</v>
      </c>
      <c r="F7">
        <v>-2146826246</v>
      </c>
    </row>
    <row r="8" spans="1:6" x14ac:dyDescent="0.25">
      <c r="A8" s="56" t="s">
        <v>452</v>
      </c>
      <c r="B8" s="56" t="s">
        <v>47</v>
      </c>
      <c r="C8" s="56" t="s">
        <v>454</v>
      </c>
      <c r="D8" s="57">
        <v>2</v>
      </c>
      <c r="E8" s="57">
        <v>1</v>
      </c>
      <c r="F8">
        <v>2</v>
      </c>
    </row>
  </sheetData>
  <autoFilter ref="A1:F8" xr:uid="{896E36C0-4BA1-43F2-A68D-60EC69FD3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CRITICITA</vt:lpstr>
      <vt:lpstr>Vettori</vt:lpstr>
      <vt:lpstr>piano consegne</vt:lpstr>
      <vt:lpstr>appmerce_db</vt:lpstr>
      <vt:lpstr>planner-acquisti</vt:lpstr>
      <vt:lpstr>commerciale</vt:lpstr>
      <vt:lpstr>param</vt:lpstr>
      <vt:lpstr>FILE PALLETTIZZAZIONI DB SRL</vt:lpstr>
      <vt:lpstr>trasportatori</vt:lpstr>
      <vt:lpstr>Logistica_ATT</vt:lpstr>
      <vt:lpstr>Logistica_49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</cp:lastModifiedBy>
  <dcterms:created xsi:type="dcterms:W3CDTF">2024-03-19T08:59:43Z</dcterms:created>
  <dcterms:modified xsi:type="dcterms:W3CDTF">2025-11-18T15:44:15Z</dcterms:modified>
</cp:coreProperties>
</file>